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bisse\Documents\Proforma\"/>
    </mc:Choice>
  </mc:AlternateContent>
  <xr:revisionPtr revIDLastSave="0" documentId="13_ncr:1_{368B58D6-159C-4B89-968D-3F8C160B2C67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Cerca electrica" sheetId="1" r:id="rId1"/>
    <sheet name="Camera analogica +" sheetId="5" r:id="rId2"/>
    <sheet name="Camera analogica" sheetId="2" r:id="rId3"/>
    <sheet name="Camera Wi-Fi" sheetId="3" r:id="rId4"/>
    <sheet name="Camera IP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BeyGqEXg96cI9QWwI/X55z06hnmBD/nWUwXMbYIXH1E="/>
    </ext>
  </extLst>
</workbook>
</file>

<file path=xl/calcChain.xml><?xml version="1.0" encoding="utf-8"?>
<calcChain xmlns="http://schemas.openxmlformats.org/spreadsheetml/2006/main">
  <c r="D48" i="4" l="1"/>
  <c r="D47" i="4"/>
  <c r="D46" i="4"/>
  <c r="D45" i="4"/>
  <c r="D44" i="4"/>
  <c r="D43" i="4"/>
  <c r="D42" i="4"/>
  <c r="D41" i="4"/>
  <c r="D40" i="4"/>
  <c r="D39" i="4"/>
  <c r="D38" i="4"/>
  <c r="D30" i="4"/>
  <c r="D29" i="4"/>
  <c r="D28" i="4"/>
  <c r="D24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13" i="5"/>
  <c r="D15" i="5"/>
  <c r="D14" i="5"/>
  <c r="D17" i="5"/>
  <c r="D16" i="5"/>
  <c r="D12" i="5"/>
  <c r="D11" i="5"/>
  <c r="D10" i="5"/>
  <c r="D9" i="5"/>
  <c r="D8" i="5"/>
  <c r="D7" i="5"/>
  <c r="D6" i="5"/>
  <c r="D5" i="5"/>
  <c r="D4" i="5"/>
  <c r="D49" i="5"/>
  <c r="D48" i="5"/>
  <c r="D47" i="5"/>
  <c r="D46" i="5"/>
  <c r="D45" i="5"/>
  <c r="D44" i="5"/>
  <c r="D43" i="5"/>
  <c r="D42" i="5"/>
  <c r="D41" i="5"/>
  <c r="D40" i="5"/>
  <c r="D39" i="5"/>
  <c r="D31" i="5"/>
  <c r="D30" i="5"/>
  <c r="D29" i="5"/>
  <c r="D25" i="5"/>
  <c r="E20" i="1"/>
  <c r="F20" i="1"/>
  <c r="G20" i="1"/>
  <c r="G21" i="1" s="1"/>
  <c r="G23" i="1" s="1"/>
  <c r="H20" i="1"/>
  <c r="H21" i="1" s="1"/>
  <c r="H23" i="1" s="1"/>
  <c r="I20" i="1"/>
  <c r="J20" i="1"/>
  <c r="J21" i="1" s="1"/>
  <c r="K20" i="1"/>
  <c r="K21" i="1" s="1"/>
  <c r="K23" i="1" s="1"/>
  <c r="L20" i="1"/>
  <c r="L21" i="1" s="1"/>
  <c r="L23" i="1" s="1"/>
  <c r="M20" i="1"/>
  <c r="D8" i="3"/>
  <c r="D7" i="3"/>
  <c r="D6" i="3"/>
  <c r="D5" i="3"/>
  <c r="D4" i="3"/>
  <c r="D3" i="3"/>
  <c r="D2" i="3"/>
  <c r="D10" i="3" s="1"/>
  <c r="D12" i="2"/>
  <c r="D11" i="2"/>
  <c r="D10" i="2"/>
  <c r="D9" i="2"/>
  <c r="D8" i="2"/>
  <c r="D7" i="2"/>
  <c r="D6" i="2"/>
  <c r="D5" i="2"/>
  <c r="D4" i="2"/>
  <c r="D14" i="2" s="1"/>
  <c r="D3" i="2"/>
  <c r="D2" i="2"/>
  <c r="D46" i="1"/>
  <c r="D45" i="1"/>
  <c r="D44" i="1"/>
  <c r="D43" i="1"/>
  <c r="D42" i="1"/>
  <c r="D41" i="1"/>
  <c r="D40" i="1"/>
  <c r="D39" i="1"/>
  <c r="D38" i="1"/>
  <c r="D37" i="1"/>
  <c r="D36" i="1"/>
  <c r="D30" i="1"/>
  <c r="D29" i="1"/>
  <c r="D28" i="1"/>
  <c r="D26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18" i="4" l="1"/>
  <c r="D19" i="4" s="1"/>
  <c r="D21" i="4" s="1"/>
  <c r="D19" i="5"/>
  <c r="F21" i="1"/>
  <c r="F23" i="1" s="1"/>
  <c r="M21" i="1"/>
  <c r="M23" i="1" s="1"/>
  <c r="I21" i="1"/>
  <c r="I23" i="1" s="1"/>
  <c r="E21" i="1"/>
  <c r="E23" i="1" s="1"/>
  <c r="J23" i="1"/>
  <c r="D20" i="1"/>
  <c r="D21" i="1" s="1"/>
  <c r="D23" i="1" s="1"/>
  <c r="D11" i="3"/>
  <c r="D13" i="3" s="1"/>
  <c r="D15" i="2"/>
  <c r="D17" i="2" s="1"/>
  <c r="D20" i="5" l="1"/>
  <c r="D22" i="5" s="1"/>
</calcChain>
</file>

<file path=xl/sharedStrings.xml><?xml version="1.0" encoding="utf-8"?>
<sst xmlns="http://schemas.openxmlformats.org/spreadsheetml/2006/main" count="213" uniqueCount="69">
  <si>
    <t>Descrição</t>
  </si>
  <si>
    <t>Qtd.</t>
  </si>
  <si>
    <t>Preço Uni.</t>
  </si>
  <si>
    <t>Total</t>
  </si>
  <si>
    <t>Nemtek Wizord 2 Energizador</t>
  </si>
  <si>
    <t>Nemtek Poste galvanizados de 6 linhas esboço quadrado</t>
  </si>
  <si>
    <t>Nemtek Arrame de aço 680 metros</t>
  </si>
  <si>
    <t>Nemtek Electro terra 1 metro</t>
  </si>
  <si>
    <t>Nemtek Caixa de molas 50PCs</t>
  </si>
  <si>
    <t>Nemtek Pacote de ferrules 100PCs</t>
  </si>
  <si>
    <t>Nemtek Sirene de buzina 12V</t>
  </si>
  <si>
    <t>Nemtek Luz estroboscópica 12V</t>
  </si>
  <si>
    <t>Nemtek Pacote de ganchos 100PCs</t>
  </si>
  <si>
    <t>Pacote de buchas 8x80mm 50PCs</t>
  </si>
  <si>
    <t>Nemtek Placa de aviso</t>
  </si>
  <si>
    <t>Nemtek Cabo HT aço 50 metros</t>
  </si>
  <si>
    <t>ZKTeck Cabo UTP CAT6 1 metro</t>
  </si>
  <si>
    <t>Calha plástica 25x16 mm 2 metros</t>
  </si>
  <si>
    <t>Instalação, configuração e testes</t>
  </si>
  <si>
    <t>Subtotal</t>
  </si>
  <si>
    <t>IVA 5%</t>
  </si>
  <si>
    <t>Desconto</t>
  </si>
  <si>
    <t>Pacote de buchas  8x80mm</t>
  </si>
  <si>
    <t>Calha 25x16 mm</t>
  </si>
  <si>
    <t>Mão de Obra</t>
  </si>
  <si>
    <t>Câmera Hikvision DS-2CE70DF0T-LPFS(2.8mm)(O-STD) Turbo HD</t>
  </si>
  <si>
    <t>DVR Hikvision AcuSense de 4 canais, 1080p, formato 1U, H.265 - IDS-7204HQHI-M1/XT</t>
  </si>
  <si>
    <t>Hikvision DS-1H18S/E(C) Video transceiver Balun</t>
  </si>
  <si>
    <t xml:space="preserve">PSU Power Jack para CCTV </t>
  </si>
  <si>
    <t>Fonte de Alimenta 12V 5A</t>
  </si>
  <si>
    <t>Cintas 5x300MM(100PCS PER BAG)</t>
  </si>
  <si>
    <t>Disco rígido Seagate SkyHawk de 1 TB para vigilância (ST1000VX005)</t>
  </si>
  <si>
    <t>RJ45 Cat6 U/UTP patch cord - 1m</t>
  </si>
  <si>
    <t>Câmera doméstica inteligente EZVIZ H6c Pro 2K + panorâmica e inclinação</t>
  </si>
  <si>
    <t>Cartão de memória SanDisk Ultra 64GB uSD</t>
  </si>
  <si>
    <t>Router LB-link 4G ( cartão sim )</t>
  </si>
  <si>
    <t>Pacote de buchas  8x40mm</t>
  </si>
  <si>
    <t>Factura</t>
  </si>
  <si>
    <t>PlusTech</t>
  </si>
  <si>
    <t>Qtdd</t>
  </si>
  <si>
    <t>Muzammil</t>
  </si>
  <si>
    <t>P&amp;Partners</t>
  </si>
  <si>
    <t>Preço</t>
  </si>
  <si>
    <t>Bitoll</t>
  </si>
  <si>
    <t>Produtos</t>
  </si>
  <si>
    <t>Permite a fazeres simulações</t>
  </si>
  <si>
    <t>Nemtek Wizord 4 Energizador</t>
  </si>
  <si>
    <t>Nemtek Poste galvanizados de 8 linhas esboço quadrado</t>
  </si>
  <si>
    <t>Nemtek Poste galvanizados de 6 linhas varão</t>
  </si>
  <si>
    <t>Nemtek Arrame de aço 1.0 500 metros</t>
  </si>
  <si>
    <t>Nemtek Arrame de aço 1.0 680 metros</t>
  </si>
  <si>
    <t>Nemtek Arrame de aço 1.0 1988 metros</t>
  </si>
  <si>
    <t>Nemtek Arrame de aço 1.0 1200 metros</t>
  </si>
  <si>
    <t>Calha plástica 16x16 mm 2 metros</t>
  </si>
  <si>
    <t>Cabo UTP CAT6 1 metro</t>
  </si>
  <si>
    <t>Cabo UTP CAT6 100 metro</t>
  </si>
  <si>
    <t>Cabo UTP CAT6 305 metro</t>
  </si>
  <si>
    <t>Pacote de buchas  6x40mm</t>
  </si>
  <si>
    <t>RJ45 Cat6 U/UTP patch cord - 100 m</t>
  </si>
  <si>
    <t>Fonte de Alimenta 12V 8A</t>
  </si>
  <si>
    <t>Tubo plastica 20mm</t>
  </si>
  <si>
    <t>Caixa de derivação 85x85x50 mm</t>
  </si>
  <si>
    <t>Abraçadeira</t>
  </si>
  <si>
    <t xml:space="preserve">DVR UNV XVR301-08Q </t>
  </si>
  <si>
    <t>Câmera UNV UAC-B112-AF28-W (2.8mm) ColorHunter</t>
  </si>
  <si>
    <t>NVR Tiandy 8ch 8POE 6mp TC-R3108 I/B/P8/C/Eu/L/S</t>
  </si>
  <si>
    <t>Tiandy 2MP Mini Color Maker Camera TC-C321N AK2 AK/I3W/E/Y/2.8mm</t>
  </si>
  <si>
    <t>Conector RJ45</t>
  </si>
  <si>
    <t>Protetor de RJ45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</si>
</sst>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_-;_-@"/>
  </numFmts>
  <fonts count="11" x14ac:knownFonts="1">
    <font>
      <sz val="11"/>
      <color theme="1"/>
      <name val="Calibri"/>
      <scheme val="minor"/>
    </font>
    <font>
      <b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333333"/>
      <name val="Arial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5" fillId="2" borderId="0" xfId="0" applyFont="1" applyFill="1"/>
    <xf numFmtId="0" fontId="10" fillId="6" borderId="0" xfId="0" applyFont="1" applyFill="1"/>
    <xf numFmtId="0" fontId="10" fillId="3" borderId="0" xfId="0" applyFont="1" applyFill="1"/>
    <xf numFmtId="0" fontId="10" fillId="4" borderId="0" xfId="0" applyFont="1" applyFill="1"/>
    <xf numFmtId="0" fontId="10" fillId="5" borderId="0" xfId="0" applyFont="1" applyFill="1"/>
    <xf numFmtId="0" fontId="10" fillId="0" borderId="0" xfId="0" applyFo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7"/>
  <sheetViews>
    <sheetView workbookViewId="0">
      <selection activeCell="C27" sqref="C27"/>
    </sheetView>
  </sheetViews>
  <sheetFormatPr defaultColWidth="14.42578125" defaultRowHeight="15" customHeight="1" x14ac:dyDescent="0.2"/>
  <cols>
    <col min="1" max="1" width="59.42578125" style="10" customWidth="1"/>
    <col min="2" max="2" width="5.7109375" style="10" customWidth="1"/>
    <col min="3" max="4" width="12.85546875" style="10" customWidth="1"/>
    <col min="5" max="5" width="9.140625" style="23" customWidth="1"/>
    <col min="6" max="6" width="9.140625" style="20" customWidth="1"/>
    <col min="7" max="7" width="8.7109375" style="20" customWidth="1"/>
    <col min="8" max="9" width="8.7109375" style="21" customWidth="1"/>
    <col min="10" max="11" width="8.7109375" style="22" customWidth="1"/>
    <col min="12" max="13" width="8.7109375" style="9" customWidth="1"/>
    <col min="14" max="26" width="8.7109375" style="10" customWidth="1"/>
    <col min="27" max="16384" width="14.42578125" style="10"/>
  </cols>
  <sheetData>
    <row r="1" spans="1:13" s="24" customFormat="1" ht="15" customHeight="1" x14ac:dyDescent="0.25">
      <c r="E1" s="30" t="s">
        <v>45</v>
      </c>
      <c r="F1" s="30"/>
      <c r="G1" s="30"/>
      <c r="H1" s="30"/>
      <c r="I1" s="30"/>
      <c r="J1" s="30"/>
      <c r="K1" s="30"/>
      <c r="L1" s="30"/>
      <c r="M1" s="30"/>
    </row>
    <row r="2" spans="1:13" s="24" customFormat="1" ht="15" customHeight="1" x14ac:dyDescent="0.25">
      <c r="A2" s="30" t="s">
        <v>37</v>
      </c>
      <c r="B2" s="30"/>
      <c r="C2" s="30"/>
      <c r="D2" s="30"/>
      <c r="F2" s="30" t="s">
        <v>38</v>
      </c>
      <c r="G2" s="30"/>
      <c r="H2" s="30" t="s">
        <v>40</v>
      </c>
      <c r="I2" s="30"/>
      <c r="J2" s="30" t="s">
        <v>41</v>
      </c>
      <c r="K2" s="30"/>
      <c r="L2" s="30" t="s">
        <v>43</v>
      </c>
      <c r="M2" s="30"/>
    </row>
    <row r="3" spans="1:13" s="29" customFormat="1" ht="15" customHeight="1" x14ac:dyDescent="0.25">
      <c r="A3" s="11" t="s">
        <v>0</v>
      </c>
      <c r="B3" s="12" t="s">
        <v>1</v>
      </c>
      <c r="C3" s="12" t="s">
        <v>2</v>
      </c>
      <c r="D3" s="12" t="s">
        <v>3</v>
      </c>
      <c r="E3" s="25" t="s">
        <v>39</v>
      </c>
      <c r="F3" s="26" t="s">
        <v>42</v>
      </c>
      <c r="G3" s="26" t="s">
        <v>3</v>
      </c>
      <c r="H3" s="27" t="s">
        <v>42</v>
      </c>
      <c r="I3" s="27" t="s">
        <v>3</v>
      </c>
      <c r="J3" s="28" t="s">
        <v>42</v>
      </c>
      <c r="K3" s="28" t="s">
        <v>3</v>
      </c>
      <c r="L3" s="24" t="s">
        <v>42</v>
      </c>
      <c r="M3" s="24" t="s">
        <v>3</v>
      </c>
    </row>
    <row r="4" spans="1:13" ht="15" customHeight="1" x14ac:dyDescent="0.2">
      <c r="A4" s="10" t="s">
        <v>4</v>
      </c>
      <c r="B4" s="13">
        <v>1</v>
      </c>
      <c r="C4" s="14">
        <v>11000</v>
      </c>
      <c r="D4" s="14">
        <f t="shared" ref="D4:D18" si="0">B4*C4</f>
        <v>11000</v>
      </c>
    </row>
    <row r="5" spans="1:13" ht="15" customHeight="1" x14ac:dyDescent="0.2">
      <c r="A5" s="10" t="s">
        <v>5</v>
      </c>
      <c r="B5" s="13">
        <v>60</v>
      </c>
      <c r="C5" s="14">
        <v>350</v>
      </c>
      <c r="D5" s="14">
        <f t="shared" si="0"/>
        <v>21000</v>
      </c>
    </row>
    <row r="6" spans="1:13" ht="15" customHeight="1" x14ac:dyDescent="0.2">
      <c r="A6" s="10" t="s">
        <v>6</v>
      </c>
      <c r="B6" s="13">
        <v>2</v>
      </c>
      <c r="C6" s="14">
        <v>2200</v>
      </c>
      <c r="D6" s="14">
        <f t="shared" si="0"/>
        <v>4400</v>
      </c>
    </row>
    <row r="7" spans="1:13" ht="15" customHeight="1" x14ac:dyDescent="0.2">
      <c r="A7" s="10" t="s">
        <v>7</v>
      </c>
      <c r="B7" s="13">
        <v>4</v>
      </c>
      <c r="C7" s="14">
        <v>200</v>
      </c>
      <c r="D7" s="14">
        <f t="shared" si="0"/>
        <v>800</v>
      </c>
    </row>
    <row r="8" spans="1:13" ht="15" customHeight="1" x14ac:dyDescent="0.2">
      <c r="A8" s="10" t="s">
        <v>8</v>
      </c>
      <c r="B8" s="13">
        <v>1</v>
      </c>
      <c r="C8" s="14">
        <v>1300</v>
      </c>
      <c r="D8" s="14">
        <f t="shared" si="0"/>
        <v>1300</v>
      </c>
    </row>
    <row r="9" spans="1:13" ht="15" customHeight="1" x14ac:dyDescent="0.2">
      <c r="A9" s="10" t="s">
        <v>9</v>
      </c>
      <c r="B9" s="13">
        <v>1</v>
      </c>
      <c r="C9" s="14">
        <v>600</v>
      </c>
      <c r="D9" s="14">
        <f t="shared" si="0"/>
        <v>600</v>
      </c>
    </row>
    <row r="10" spans="1:13" ht="15" customHeight="1" x14ac:dyDescent="0.2">
      <c r="A10" s="10" t="s">
        <v>10</v>
      </c>
      <c r="B10" s="13">
        <v>1</v>
      </c>
      <c r="C10" s="14">
        <v>400</v>
      </c>
      <c r="D10" s="14">
        <f t="shared" si="0"/>
        <v>400</v>
      </c>
    </row>
    <row r="11" spans="1:13" ht="15" customHeight="1" x14ac:dyDescent="0.2">
      <c r="A11" s="10" t="s">
        <v>11</v>
      </c>
      <c r="B11" s="13">
        <v>1</v>
      </c>
      <c r="C11" s="14">
        <v>800</v>
      </c>
      <c r="D11" s="14">
        <f t="shared" si="0"/>
        <v>800</v>
      </c>
    </row>
    <row r="12" spans="1:13" ht="15" customHeight="1" x14ac:dyDescent="0.2">
      <c r="A12" s="10" t="s">
        <v>12</v>
      </c>
      <c r="B12" s="13">
        <v>1</v>
      </c>
      <c r="C12" s="14">
        <v>600</v>
      </c>
      <c r="D12" s="14">
        <f t="shared" si="0"/>
        <v>600</v>
      </c>
    </row>
    <row r="13" spans="1:13" ht="15" customHeight="1" x14ac:dyDescent="0.2">
      <c r="A13" s="10" t="s">
        <v>13</v>
      </c>
      <c r="B13" s="13">
        <v>3</v>
      </c>
      <c r="C13" s="14">
        <v>400</v>
      </c>
      <c r="D13" s="14">
        <f t="shared" si="0"/>
        <v>1200</v>
      </c>
    </row>
    <row r="14" spans="1:13" ht="15" customHeight="1" x14ac:dyDescent="0.2">
      <c r="A14" s="10" t="s">
        <v>14</v>
      </c>
      <c r="B14" s="13">
        <v>11</v>
      </c>
      <c r="C14" s="14">
        <v>80</v>
      </c>
      <c r="D14" s="14">
        <f t="shared" si="0"/>
        <v>880</v>
      </c>
    </row>
    <row r="15" spans="1:13" ht="15" customHeight="1" x14ac:dyDescent="0.2">
      <c r="A15" s="10" t="s">
        <v>15</v>
      </c>
      <c r="B15" s="13">
        <v>1</v>
      </c>
      <c r="C15" s="14">
        <v>1400</v>
      </c>
      <c r="D15" s="14">
        <f t="shared" si="0"/>
        <v>1400</v>
      </c>
    </row>
    <row r="16" spans="1:13" ht="15" customHeight="1" x14ac:dyDescent="0.2">
      <c r="A16" s="10" t="s">
        <v>16</v>
      </c>
      <c r="B16" s="13">
        <v>6</v>
      </c>
      <c r="C16" s="14">
        <v>30</v>
      </c>
      <c r="D16" s="14">
        <f t="shared" si="0"/>
        <v>180</v>
      </c>
    </row>
    <row r="17" spans="1:13" ht="15" customHeight="1" x14ac:dyDescent="0.2">
      <c r="A17" s="10" t="s">
        <v>17</v>
      </c>
      <c r="B17" s="13">
        <v>2</v>
      </c>
      <c r="C17" s="14">
        <v>190</v>
      </c>
      <c r="D17" s="14">
        <f t="shared" si="0"/>
        <v>380</v>
      </c>
    </row>
    <row r="18" spans="1:13" ht="15" customHeight="1" x14ac:dyDescent="0.2">
      <c r="A18" s="15" t="s">
        <v>18</v>
      </c>
      <c r="B18" s="13">
        <v>60</v>
      </c>
      <c r="C18" s="14">
        <v>300</v>
      </c>
      <c r="D18" s="14">
        <f t="shared" si="0"/>
        <v>18000</v>
      </c>
    </row>
    <row r="20" spans="1:13" ht="15" customHeight="1" x14ac:dyDescent="0.2">
      <c r="C20" s="16" t="s">
        <v>19</v>
      </c>
      <c r="D20" s="17">
        <f>SUM(D4:D18)</f>
        <v>62940</v>
      </c>
      <c r="E20" s="17">
        <f t="shared" ref="E20:M20" si="1">SUM(E4:E18)</f>
        <v>0</v>
      </c>
      <c r="F20" s="17">
        <f t="shared" si="1"/>
        <v>0</v>
      </c>
      <c r="G20" s="17">
        <f t="shared" si="1"/>
        <v>0</v>
      </c>
      <c r="H20" s="17">
        <f t="shared" si="1"/>
        <v>0</v>
      </c>
      <c r="I20" s="17">
        <f t="shared" si="1"/>
        <v>0</v>
      </c>
      <c r="J20" s="17">
        <f t="shared" si="1"/>
        <v>0</v>
      </c>
      <c r="K20" s="17">
        <f t="shared" si="1"/>
        <v>0</v>
      </c>
      <c r="L20" s="17">
        <f t="shared" si="1"/>
        <v>0</v>
      </c>
      <c r="M20" s="17">
        <f t="shared" si="1"/>
        <v>0</v>
      </c>
    </row>
    <row r="21" spans="1:13" ht="15" customHeight="1" x14ac:dyDescent="0.2">
      <c r="C21" s="16" t="s">
        <v>20</v>
      </c>
      <c r="D21" s="17">
        <f>D20*5%</f>
        <v>3147</v>
      </c>
      <c r="E21" s="17">
        <f t="shared" ref="E21:M21" si="2">E20*5%</f>
        <v>0</v>
      </c>
      <c r="F21" s="17">
        <f t="shared" si="2"/>
        <v>0</v>
      </c>
      <c r="G21" s="17">
        <f t="shared" si="2"/>
        <v>0</v>
      </c>
      <c r="H21" s="17">
        <f t="shared" si="2"/>
        <v>0</v>
      </c>
      <c r="I21" s="17">
        <f t="shared" si="2"/>
        <v>0</v>
      </c>
      <c r="J21" s="17">
        <f t="shared" si="2"/>
        <v>0</v>
      </c>
      <c r="K21" s="17">
        <f t="shared" si="2"/>
        <v>0</v>
      </c>
      <c r="L21" s="17">
        <f t="shared" si="2"/>
        <v>0</v>
      </c>
      <c r="M21" s="17">
        <f t="shared" si="2"/>
        <v>0</v>
      </c>
    </row>
    <row r="22" spans="1:13" ht="15" customHeight="1" x14ac:dyDescent="0.2">
      <c r="C22" s="16" t="s">
        <v>21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</row>
    <row r="23" spans="1:13" x14ac:dyDescent="0.2">
      <c r="C23" s="16" t="s">
        <v>3</v>
      </c>
      <c r="D23" s="17">
        <f>SUM(D20:D21)-D22</f>
        <v>66087</v>
      </c>
      <c r="E23" s="17">
        <f t="shared" ref="E23:M23" si="3">SUM(E20:E21)-E22</f>
        <v>0</v>
      </c>
      <c r="F23" s="17">
        <f t="shared" si="3"/>
        <v>0</v>
      </c>
      <c r="G23" s="17">
        <f t="shared" si="3"/>
        <v>0</v>
      </c>
      <c r="H23" s="17">
        <f t="shared" si="3"/>
        <v>0</v>
      </c>
      <c r="I23" s="17">
        <f t="shared" si="3"/>
        <v>0</v>
      </c>
      <c r="J23" s="17">
        <f t="shared" si="3"/>
        <v>0</v>
      </c>
      <c r="K23" s="17">
        <f t="shared" si="3"/>
        <v>0</v>
      </c>
      <c r="L23" s="17">
        <f t="shared" si="3"/>
        <v>0</v>
      </c>
      <c r="M23" s="17">
        <f t="shared" si="3"/>
        <v>0</v>
      </c>
    </row>
    <row r="24" spans="1:13" s="24" customFormat="1" x14ac:dyDescent="0.25">
      <c r="A24" s="8" t="s">
        <v>44</v>
      </c>
    </row>
    <row r="25" spans="1:13" ht="15.75" customHeight="1" x14ac:dyDescent="0.2">
      <c r="A25" s="18" t="s">
        <v>0</v>
      </c>
      <c r="B25" s="19" t="s">
        <v>1</v>
      </c>
      <c r="C25" s="19" t="s">
        <v>2</v>
      </c>
      <c r="D25" s="19" t="s">
        <v>3</v>
      </c>
    </row>
    <row r="26" spans="1:13" ht="15.75" customHeight="1" x14ac:dyDescent="0.2">
      <c r="A26" s="15" t="s">
        <v>18</v>
      </c>
      <c r="B26" s="13">
        <v>1</v>
      </c>
      <c r="C26" s="14">
        <v>300</v>
      </c>
      <c r="D26" s="14">
        <f t="shared" ref="D26:D46" si="4">B26*C26</f>
        <v>300</v>
      </c>
    </row>
    <row r="27" spans="1:13" ht="15.75" customHeight="1" x14ac:dyDescent="0.2">
      <c r="A27" s="10" t="s">
        <v>4</v>
      </c>
      <c r="B27" s="13">
        <v>1</v>
      </c>
      <c r="C27" s="14"/>
      <c r="D27" s="14"/>
    </row>
    <row r="28" spans="1:13" ht="15.75" customHeight="1" x14ac:dyDescent="0.2">
      <c r="A28" s="10" t="s">
        <v>46</v>
      </c>
      <c r="B28" s="13">
        <v>1</v>
      </c>
      <c r="C28" s="14">
        <v>460</v>
      </c>
      <c r="D28" s="14">
        <f t="shared" si="4"/>
        <v>460</v>
      </c>
    </row>
    <row r="29" spans="1:13" ht="15.75" customHeight="1" x14ac:dyDescent="0.2">
      <c r="A29" s="15" t="s">
        <v>48</v>
      </c>
      <c r="B29" s="13">
        <v>1</v>
      </c>
      <c r="C29" s="14">
        <v>3000</v>
      </c>
      <c r="D29" s="14">
        <f t="shared" si="4"/>
        <v>3000</v>
      </c>
    </row>
    <row r="30" spans="1:13" ht="15.75" customHeight="1" x14ac:dyDescent="0.2">
      <c r="A30" s="10" t="s">
        <v>5</v>
      </c>
      <c r="B30" s="13">
        <v>1</v>
      </c>
      <c r="C30" s="14">
        <v>250</v>
      </c>
      <c r="D30" s="14">
        <f t="shared" si="4"/>
        <v>250</v>
      </c>
    </row>
    <row r="31" spans="1:13" ht="15.75" customHeight="1" x14ac:dyDescent="0.2">
      <c r="A31" s="10" t="s">
        <v>47</v>
      </c>
      <c r="B31" s="13">
        <v>1</v>
      </c>
      <c r="C31" s="14"/>
      <c r="D31" s="14"/>
    </row>
    <row r="32" spans="1:13" ht="15.75" customHeight="1" x14ac:dyDescent="0.2">
      <c r="A32" s="10" t="s">
        <v>49</v>
      </c>
      <c r="B32" s="13">
        <v>1</v>
      </c>
      <c r="C32" s="14"/>
      <c r="D32" s="14"/>
    </row>
    <row r="33" spans="1:4" ht="15.75" customHeight="1" x14ac:dyDescent="0.2">
      <c r="A33" s="10" t="s">
        <v>52</v>
      </c>
      <c r="B33" s="13">
        <v>1</v>
      </c>
      <c r="C33" s="14"/>
      <c r="D33" s="14"/>
    </row>
    <row r="34" spans="1:4" ht="15.75" customHeight="1" x14ac:dyDescent="0.2">
      <c r="A34" s="10" t="s">
        <v>50</v>
      </c>
      <c r="B34" s="13">
        <v>1</v>
      </c>
      <c r="C34" s="14"/>
      <c r="D34" s="14"/>
    </row>
    <row r="35" spans="1:4" ht="15.75" customHeight="1" x14ac:dyDescent="0.2">
      <c r="A35" s="10" t="s">
        <v>51</v>
      </c>
      <c r="B35" s="13">
        <v>1</v>
      </c>
      <c r="C35" s="14"/>
      <c r="D35" s="14"/>
    </row>
    <row r="36" spans="1:4" ht="15.75" customHeight="1" x14ac:dyDescent="0.2">
      <c r="A36" s="10" t="s">
        <v>7</v>
      </c>
      <c r="B36" s="13">
        <v>1</v>
      </c>
      <c r="C36" s="14">
        <v>1300</v>
      </c>
      <c r="D36" s="14">
        <f t="shared" si="4"/>
        <v>1300</v>
      </c>
    </row>
    <row r="37" spans="1:4" ht="15.75" customHeight="1" x14ac:dyDescent="0.2">
      <c r="A37" s="10" t="s">
        <v>8</v>
      </c>
      <c r="B37" s="13">
        <v>1</v>
      </c>
      <c r="C37" s="14">
        <v>850</v>
      </c>
      <c r="D37" s="14">
        <f t="shared" si="4"/>
        <v>850</v>
      </c>
    </row>
    <row r="38" spans="1:4" ht="15.75" customHeight="1" x14ac:dyDescent="0.2">
      <c r="A38" s="10" t="s">
        <v>9</v>
      </c>
      <c r="B38" s="13">
        <v>1</v>
      </c>
      <c r="C38" s="14">
        <v>600</v>
      </c>
      <c r="D38" s="14">
        <f t="shared" si="4"/>
        <v>600</v>
      </c>
    </row>
    <row r="39" spans="1:4" ht="15.75" customHeight="1" x14ac:dyDescent="0.2">
      <c r="A39" s="10" t="s">
        <v>10</v>
      </c>
      <c r="B39" s="13">
        <v>1</v>
      </c>
      <c r="C39" s="14">
        <v>600</v>
      </c>
      <c r="D39" s="14">
        <f t="shared" si="4"/>
        <v>600</v>
      </c>
    </row>
    <row r="40" spans="1:4" ht="15.75" customHeight="1" x14ac:dyDescent="0.2">
      <c r="A40" s="10" t="s">
        <v>11</v>
      </c>
      <c r="B40" s="13">
        <v>1</v>
      </c>
      <c r="C40" s="14">
        <v>850</v>
      </c>
      <c r="D40" s="14">
        <f t="shared" si="4"/>
        <v>850</v>
      </c>
    </row>
    <row r="41" spans="1:4" ht="15.75" customHeight="1" x14ac:dyDescent="0.2">
      <c r="A41" s="10" t="s">
        <v>12</v>
      </c>
      <c r="B41" s="13">
        <v>1</v>
      </c>
      <c r="C41" s="14">
        <v>400</v>
      </c>
      <c r="D41" s="14">
        <f t="shared" si="4"/>
        <v>400</v>
      </c>
    </row>
    <row r="42" spans="1:4" ht="15.75" customHeight="1" x14ac:dyDescent="0.2">
      <c r="A42" s="10" t="s">
        <v>13</v>
      </c>
      <c r="B42" s="13">
        <v>1</v>
      </c>
      <c r="C42" s="14">
        <v>150</v>
      </c>
      <c r="D42" s="14">
        <f t="shared" si="4"/>
        <v>150</v>
      </c>
    </row>
    <row r="43" spans="1:4" ht="15.75" customHeight="1" x14ac:dyDescent="0.2">
      <c r="A43" s="10" t="s">
        <v>14</v>
      </c>
      <c r="B43" s="13">
        <v>1</v>
      </c>
      <c r="C43" s="14">
        <v>2000</v>
      </c>
      <c r="D43" s="14">
        <f t="shared" si="4"/>
        <v>2000</v>
      </c>
    </row>
    <row r="44" spans="1:4" ht="15.75" customHeight="1" x14ac:dyDescent="0.2">
      <c r="A44" s="10" t="s">
        <v>15</v>
      </c>
      <c r="B44" s="13">
        <v>1</v>
      </c>
      <c r="C44" s="14">
        <v>30</v>
      </c>
      <c r="D44" s="14">
        <f t="shared" si="4"/>
        <v>30</v>
      </c>
    </row>
    <row r="45" spans="1:4" ht="15.75" customHeight="1" x14ac:dyDescent="0.2">
      <c r="A45" s="10" t="s">
        <v>16</v>
      </c>
      <c r="B45" s="13">
        <v>1</v>
      </c>
      <c r="C45" s="14">
        <v>190</v>
      </c>
      <c r="D45" s="14">
        <f t="shared" si="4"/>
        <v>190</v>
      </c>
    </row>
    <row r="46" spans="1:4" ht="15.75" customHeight="1" x14ac:dyDescent="0.2">
      <c r="A46" s="10" t="s">
        <v>17</v>
      </c>
      <c r="B46" s="13">
        <v>1</v>
      </c>
      <c r="C46" s="14">
        <v>300</v>
      </c>
      <c r="D46" s="14">
        <f t="shared" si="4"/>
        <v>300</v>
      </c>
    </row>
    <row r="47" spans="1:4" ht="15.75" customHeight="1" x14ac:dyDescent="0.2"/>
    <row r="48" spans="1:4" ht="15.75" customHeight="1" x14ac:dyDescent="0.2">
      <c r="C48" s="16"/>
      <c r="D48" s="17"/>
    </row>
    <row r="49" spans="3:4" ht="15.75" customHeight="1" x14ac:dyDescent="0.2">
      <c r="C49" s="16"/>
      <c r="D49" s="17"/>
    </row>
    <row r="50" spans="3:4" ht="15.75" customHeight="1" x14ac:dyDescent="0.2">
      <c r="C50" s="16"/>
      <c r="D50" s="17"/>
    </row>
    <row r="51" spans="3:4" ht="15.75" customHeight="1" x14ac:dyDescent="0.2">
      <c r="C51" s="16"/>
      <c r="D51" s="17"/>
    </row>
    <row r="52" spans="3:4" ht="15.75" customHeight="1" x14ac:dyDescent="0.2"/>
    <row r="53" spans="3:4" ht="15.75" customHeight="1" x14ac:dyDescent="0.2"/>
    <row r="54" spans="3:4" ht="15.75" customHeight="1" x14ac:dyDescent="0.2"/>
    <row r="55" spans="3:4" ht="15.75" customHeight="1" x14ac:dyDescent="0.2"/>
    <row r="56" spans="3:4" ht="15.75" customHeight="1" x14ac:dyDescent="0.2"/>
    <row r="57" spans="3:4" ht="15.75" customHeight="1" x14ac:dyDescent="0.2"/>
    <row r="58" spans="3:4" ht="15.75" customHeight="1" x14ac:dyDescent="0.2"/>
    <row r="59" spans="3:4" ht="15.75" customHeight="1" x14ac:dyDescent="0.2"/>
    <row r="60" spans="3:4" ht="15.75" customHeight="1" x14ac:dyDescent="0.2"/>
    <row r="61" spans="3:4" ht="15.75" customHeight="1" x14ac:dyDescent="0.2"/>
    <row r="62" spans="3:4" ht="15.75" customHeight="1" x14ac:dyDescent="0.2"/>
    <row r="63" spans="3:4" ht="15.75" customHeight="1" x14ac:dyDescent="0.2"/>
    <row r="64" spans="3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6">
    <mergeCell ref="E1:M1"/>
    <mergeCell ref="A2:D2"/>
    <mergeCell ref="F2:G2"/>
    <mergeCell ref="H2:I2"/>
    <mergeCell ref="J2:K2"/>
    <mergeCell ref="L2:M2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61AA-FAC8-429B-9F50-DD617FE52470}">
  <dimension ref="A1:M1032"/>
  <sheetViews>
    <sheetView workbookViewId="0">
      <selection activeCell="A16" sqref="A16"/>
    </sheetView>
  </sheetViews>
  <sheetFormatPr defaultColWidth="14.42578125" defaultRowHeight="14.25" x14ac:dyDescent="0.2"/>
  <cols>
    <col min="1" max="1" width="92.42578125" style="10" bestFit="1" customWidth="1"/>
    <col min="2" max="2" width="5.7109375" style="10" customWidth="1"/>
    <col min="3" max="4" width="12.85546875" style="10" customWidth="1"/>
    <col min="5" max="5" width="9.140625" style="23" customWidth="1"/>
    <col min="6" max="6" width="9.140625" style="20" customWidth="1"/>
    <col min="7" max="7" width="8.7109375" style="20" customWidth="1"/>
    <col min="8" max="9" width="8.7109375" style="21" customWidth="1"/>
    <col min="10" max="11" width="8.7109375" style="22" customWidth="1"/>
    <col min="12" max="13" width="8.7109375" style="9" customWidth="1"/>
    <col min="14" max="26" width="8.7109375" style="10" customWidth="1"/>
    <col min="27" max="16384" width="14.42578125" style="10"/>
  </cols>
  <sheetData>
    <row r="1" spans="1:13" s="24" customFormat="1" ht="15" customHeight="1" x14ac:dyDescent="0.25">
      <c r="E1" s="30" t="s">
        <v>45</v>
      </c>
      <c r="F1" s="30"/>
      <c r="G1" s="30"/>
      <c r="H1" s="30"/>
      <c r="I1" s="30"/>
      <c r="J1" s="30"/>
      <c r="K1" s="30"/>
      <c r="L1" s="30"/>
      <c r="M1" s="30"/>
    </row>
    <row r="2" spans="1:13" s="24" customFormat="1" ht="15" customHeight="1" x14ac:dyDescent="0.25">
      <c r="A2" s="30" t="s">
        <v>37</v>
      </c>
      <c r="B2" s="30"/>
      <c r="C2" s="30"/>
      <c r="D2" s="30"/>
      <c r="F2" s="30" t="s">
        <v>38</v>
      </c>
      <c r="G2" s="30"/>
      <c r="H2" s="30" t="s">
        <v>40</v>
      </c>
      <c r="I2" s="30"/>
      <c r="J2" s="30" t="s">
        <v>41</v>
      </c>
      <c r="K2" s="30"/>
      <c r="L2" s="30" t="s">
        <v>43</v>
      </c>
      <c r="M2" s="30"/>
    </row>
    <row r="3" spans="1:13" s="29" customFormat="1" ht="15" customHeight="1" x14ac:dyDescent="0.25">
      <c r="A3" s="11" t="s">
        <v>0</v>
      </c>
      <c r="B3" s="12" t="s">
        <v>1</v>
      </c>
      <c r="C3" s="12" t="s">
        <v>2</v>
      </c>
      <c r="D3" s="12" t="s">
        <v>3</v>
      </c>
      <c r="E3" s="25" t="s">
        <v>39</v>
      </c>
      <c r="F3" s="26" t="s">
        <v>42</v>
      </c>
      <c r="G3" s="26" t="s">
        <v>3</v>
      </c>
      <c r="H3" s="27" t="s">
        <v>42</v>
      </c>
      <c r="I3" s="27" t="s">
        <v>3</v>
      </c>
      <c r="J3" s="28" t="s">
        <v>42</v>
      </c>
      <c r="K3" s="28" t="s">
        <v>3</v>
      </c>
      <c r="L3" s="24" t="s">
        <v>42</v>
      </c>
      <c r="M3" s="24" t="s">
        <v>3</v>
      </c>
    </row>
    <row r="4" spans="1:13" ht="15" customHeight="1" x14ac:dyDescent="0.2">
      <c r="A4" s="10" t="s">
        <v>64</v>
      </c>
      <c r="B4" s="4">
        <v>6</v>
      </c>
      <c r="C4" s="5">
        <v>1650</v>
      </c>
      <c r="D4" s="5">
        <f t="shared" ref="D4:D17" si="0">B4*C4</f>
        <v>9900</v>
      </c>
      <c r="J4" s="22">
        <v>2100</v>
      </c>
    </row>
    <row r="5" spans="1:13" ht="15" customHeight="1" x14ac:dyDescent="0.2">
      <c r="A5" s="10" t="s">
        <v>63</v>
      </c>
      <c r="B5" s="4">
        <v>1</v>
      </c>
      <c r="C5" s="5">
        <v>3850</v>
      </c>
      <c r="D5" s="5">
        <f t="shared" si="0"/>
        <v>3850</v>
      </c>
    </row>
    <row r="6" spans="1:13" ht="15" customHeight="1" x14ac:dyDescent="0.2">
      <c r="A6" s="3" t="s">
        <v>27</v>
      </c>
      <c r="B6" s="4">
        <v>6</v>
      </c>
      <c r="C6" s="5">
        <v>250</v>
      </c>
      <c r="D6" s="5">
        <f t="shared" si="0"/>
        <v>1500</v>
      </c>
    </row>
    <row r="7" spans="1:13" ht="15" customHeight="1" x14ac:dyDescent="0.2">
      <c r="A7" s="3" t="s">
        <v>28</v>
      </c>
      <c r="B7" s="4">
        <v>6</v>
      </c>
      <c r="C7" s="5">
        <v>40</v>
      </c>
      <c r="D7" s="5">
        <f t="shared" si="0"/>
        <v>240</v>
      </c>
    </row>
    <row r="8" spans="1:13" ht="15" customHeight="1" x14ac:dyDescent="0.2">
      <c r="A8" s="3" t="s">
        <v>59</v>
      </c>
      <c r="B8" s="4">
        <v>1</v>
      </c>
      <c r="C8" s="5">
        <v>1200</v>
      </c>
      <c r="D8" s="5">
        <f t="shared" si="0"/>
        <v>1200</v>
      </c>
    </row>
    <row r="9" spans="1:13" ht="15" customHeight="1" x14ac:dyDescent="0.2">
      <c r="A9" s="3" t="s">
        <v>57</v>
      </c>
      <c r="B9" s="4">
        <v>1</v>
      </c>
      <c r="C9" s="5">
        <v>100</v>
      </c>
      <c r="D9" s="5">
        <f t="shared" si="0"/>
        <v>100</v>
      </c>
    </row>
    <row r="10" spans="1:13" ht="15" customHeight="1" x14ac:dyDescent="0.2">
      <c r="A10" s="3" t="s">
        <v>30</v>
      </c>
      <c r="B10" s="4">
        <v>1</v>
      </c>
      <c r="C10" s="5">
        <v>100</v>
      </c>
      <c r="D10" s="5">
        <f t="shared" si="0"/>
        <v>100</v>
      </c>
    </row>
    <row r="11" spans="1:13" ht="15" customHeight="1" x14ac:dyDescent="0.2">
      <c r="A11" s="3" t="s">
        <v>31</v>
      </c>
      <c r="B11" s="4">
        <v>1</v>
      </c>
      <c r="C11" s="5">
        <v>4000</v>
      </c>
      <c r="D11" s="5">
        <f t="shared" si="0"/>
        <v>4000</v>
      </c>
    </row>
    <row r="12" spans="1:13" ht="15" customHeight="1" x14ac:dyDescent="0.2">
      <c r="A12" s="3" t="s">
        <v>58</v>
      </c>
      <c r="B12" s="4">
        <v>1.5</v>
      </c>
      <c r="C12" s="5">
        <v>1400</v>
      </c>
      <c r="D12" s="5">
        <f t="shared" si="0"/>
        <v>2100</v>
      </c>
    </row>
    <row r="13" spans="1:13" ht="15" customHeight="1" x14ac:dyDescent="0.2">
      <c r="A13" s="3" t="s">
        <v>62</v>
      </c>
      <c r="B13" s="4">
        <v>40</v>
      </c>
      <c r="C13" s="5">
        <v>10</v>
      </c>
      <c r="D13" s="5">
        <f t="shared" si="0"/>
        <v>400</v>
      </c>
    </row>
    <row r="14" spans="1:13" ht="15" customHeight="1" x14ac:dyDescent="0.2">
      <c r="A14" s="3" t="s">
        <v>60</v>
      </c>
      <c r="B14" s="4">
        <v>20</v>
      </c>
      <c r="C14" s="5">
        <v>60</v>
      </c>
      <c r="D14" s="5">
        <f t="shared" si="0"/>
        <v>1200</v>
      </c>
    </row>
    <row r="15" spans="1:13" ht="15" customHeight="1" x14ac:dyDescent="0.2">
      <c r="A15" s="3" t="s">
        <v>61</v>
      </c>
      <c r="B15" s="4">
        <v>6</v>
      </c>
      <c r="C15" s="5">
        <v>100</v>
      </c>
      <c r="D15" s="5">
        <f t="shared" si="0"/>
        <v>600</v>
      </c>
    </row>
    <row r="16" spans="1:13" ht="15" customHeight="1" x14ac:dyDescent="0.2">
      <c r="A16" s="3" t="s">
        <v>23</v>
      </c>
      <c r="B16" s="4">
        <v>10</v>
      </c>
      <c r="C16" s="5">
        <v>190</v>
      </c>
      <c r="D16" s="5">
        <f t="shared" si="0"/>
        <v>1900</v>
      </c>
    </row>
    <row r="17" spans="1:4" ht="15" customHeight="1" x14ac:dyDescent="0.2">
      <c r="A17" s="15" t="s">
        <v>18</v>
      </c>
      <c r="B17" s="4">
        <v>6</v>
      </c>
      <c r="C17" s="5">
        <v>1000</v>
      </c>
      <c r="D17" s="5">
        <f t="shared" si="0"/>
        <v>6000</v>
      </c>
    </row>
    <row r="18" spans="1:4" ht="15" customHeight="1" x14ac:dyDescent="0.2">
      <c r="A18" s="3"/>
      <c r="B18" s="3"/>
      <c r="C18" s="3"/>
      <c r="D18" s="3"/>
    </row>
    <row r="19" spans="1:4" ht="15" customHeight="1" x14ac:dyDescent="0.2">
      <c r="A19" s="3"/>
      <c r="B19" s="3"/>
      <c r="C19" s="1" t="s">
        <v>19</v>
      </c>
      <c r="D19" s="5">
        <f>SUM(D4:D17)</f>
        <v>33090</v>
      </c>
    </row>
    <row r="20" spans="1:4" ht="15" customHeight="1" x14ac:dyDescent="0.2">
      <c r="A20" s="3"/>
      <c r="B20" s="3"/>
      <c r="C20" s="1" t="s">
        <v>20</v>
      </c>
      <c r="D20" s="5">
        <f>D19*5%</f>
        <v>1654.5</v>
      </c>
    </row>
    <row r="21" spans="1:4" ht="15" customHeight="1" x14ac:dyDescent="0.2">
      <c r="A21" s="3"/>
      <c r="B21" s="3"/>
      <c r="C21" s="1" t="s">
        <v>21</v>
      </c>
      <c r="D21" s="5">
        <v>0</v>
      </c>
    </row>
    <row r="22" spans="1:4" ht="15" customHeight="1" x14ac:dyDescent="0.2">
      <c r="A22" s="3"/>
      <c r="B22" s="3"/>
      <c r="C22" s="1" t="s">
        <v>3</v>
      </c>
      <c r="D22" s="5">
        <f>SUM(D19:D20)-D21</f>
        <v>34744.5</v>
      </c>
    </row>
    <row r="23" spans="1:4" s="24" customFormat="1" ht="15" x14ac:dyDescent="0.25">
      <c r="A23" s="8" t="s">
        <v>44</v>
      </c>
    </row>
    <row r="24" spans="1:4" ht="15.75" customHeight="1" x14ac:dyDescent="0.2">
      <c r="A24" s="18" t="s">
        <v>0</v>
      </c>
      <c r="B24" s="19" t="s">
        <v>1</v>
      </c>
      <c r="C24" s="19" t="s">
        <v>2</v>
      </c>
      <c r="D24" s="19" t="s">
        <v>3</v>
      </c>
    </row>
    <row r="25" spans="1:4" ht="15.75" customHeight="1" x14ac:dyDescent="0.2">
      <c r="A25" s="15" t="s">
        <v>18</v>
      </c>
      <c r="B25" s="13">
        <v>1</v>
      </c>
      <c r="C25" s="14">
        <v>15000</v>
      </c>
      <c r="D25" s="14">
        <f t="shared" ref="D25:D49" si="1">B25*C25</f>
        <v>15000</v>
      </c>
    </row>
    <row r="26" spans="1:4" ht="15.75" customHeight="1" x14ac:dyDescent="0.2">
      <c r="A26" s="3" t="s">
        <v>25</v>
      </c>
      <c r="B26" s="13"/>
      <c r="C26" s="14"/>
      <c r="D26" s="14"/>
    </row>
    <row r="27" spans="1:4" ht="15.75" customHeight="1" x14ac:dyDescent="0.2">
      <c r="A27" s="10" t="s">
        <v>64</v>
      </c>
      <c r="B27" s="13">
        <v>1</v>
      </c>
      <c r="C27" s="14"/>
      <c r="D27" s="14"/>
    </row>
    <row r="28" spans="1:4" ht="15.75" customHeight="1" x14ac:dyDescent="0.2">
      <c r="A28" s="3" t="s">
        <v>26</v>
      </c>
      <c r="B28" s="13"/>
      <c r="C28" s="14"/>
      <c r="D28" s="14"/>
    </row>
    <row r="29" spans="1:4" ht="15.75" customHeight="1" x14ac:dyDescent="0.2">
      <c r="A29" s="10" t="s">
        <v>63</v>
      </c>
      <c r="B29" s="13">
        <v>1</v>
      </c>
      <c r="C29" s="14">
        <v>460</v>
      </c>
      <c r="D29" s="14">
        <f t="shared" si="1"/>
        <v>460</v>
      </c>
    </row>
    <row r="30" spans="1:4" ht="15.75" customHeight="1" x14ac:dyDescent="0.2">
      <c r="A30" s="3" t="s">
        <v>27</v>
      </c>
      <c r="B30" s="13">
        <v>1</v>
      </c>
      <c r="C30" s="14">
        <v>3000</v>
      </c>
      <c r="D30" s="14">
        <f t="shared" si="1"/>
        <v>3000</v>
      </c>
    </row>
    <row r="31" spans="1:4" ht="15.75" customHeight="1" x14ac:dyDescent="0.2">
      <c r="A31" s="3" t="s">
        <v>28</v>
      </c>
      <c r="B31" s="13">
        <v>1</v>
      </c>
      <c r="C31" s="14">
        <v>250</v>
      </c>
      <c r="D31" s="14">
        <f t="shared" si="1"/>
        <v>250</v>
      </c>
    </row>
    <row r="32" spans="1:4" ht="15.75" customHeight="1" x14ac:dyDescent="0.2">
      <c r="A32" s="3" t="s">
        <v>29</v>
      </c>
      <c r="B32" s="13">
        <v>1</v>
      </c>
      <c r="C32" s="14"/>
      <c r="D32" s="14"/>
    </row>
    <row r="33" spans="1:4" ht="15.75" customHeight="1" x14ac:dyDescent="0.2">
      <c r="A33" s="3" t="s">
        <v>22</v>
      </c>
      <c r="B33" s="13">
        <v>1</v>
      </c>
      <c r="C33" s="14"/>
      <c r="D33" s="14"/>
    </row>
    <row r="34" spans="1:4" ht="15.75" customHeight="1" x14ac:dyDescent="0.2">
      <c r="A34" s="3" t="s">
        <v>30</v>
      </c>
      <c r="B34" s="13">
        <v>1</v>
      </c>
      <c r="C34" s="14"/>
      <c r="D34" s="14"/>
    </row>
    <row r="35" spans="1:4" ht="15.75" customHeight="1" x14ac:dyDescent="0.2">
      <c r="A35" s="3" t="s">
        <v>31</v>
      </c>
      <c r="B35" s="13">
        <v>1</v>
      </c>
      <c r="C35" s="14"/>
      <c r="D35" s="14"/>
    </row>
    <row r="36" spans="1:4" ht="15.75" customHeight="1" x14ac:dyDescent="0.2">
      <c r="A36" s="10" t="s">
        <v>54</v>
      </c>
      <c r="B36" s="13"/>
      <c r="C36" s="14"/>
      <c r="D36" s="14"/>
    </row>
    <row r="37" spans="1:4" ht="15.75" customHeight="1" x14ac:dyDescent="0.2">
      <c r="A37" s="10" t="s">
        <v>55</v>
      </c>
      <c r="B37" s="13"/>
      <c r="C37" s="14"/>
      <c r="D37" s="14"/>
    </row>
    <row r="38" spans="1:4" ht="15.75" customHeight="1" x14ac:dyDescent="0.2">
      <c r="A38" s="10" t="s">
        <v>56</v>
      </c>
      <c r="B38" s="13">
        <v>1</v>
      </c>
      <c r="C38" s="14"/>
      <c r="D38" s="14"/>
    </row>
    <row r="39" spans="1:4" ht="15.75" customHeight="1" x14ac:dyDescent="0.2">
      <c r="A39" s="10" t="s">
        <v>53</v>
      </c>
      <c r="B39" s="13">
        <v>1</v>
      </c>
      <c r="C39" s="14">
        <v>1300</v>
      </c>
      <c r="D39" s="14">
        <f t="shared" si="1"/>
        <v>1300</v>
      </c>
    </row>
    <row r="40" spans="1:4" ht="15.75" customHeight="1" x14ac:dyDescent="0.2">
      <c r="A40" s="10" t="s">
        <v>17</v>
      </c>
      <c r="B40" s="13">
        <v>1</v>
      </c>
      <c r="C40" s="14">
        <v>850</v>
      </c>
      <c r="D40" s="14">
        <f t="shared" si="1"/>
        <v>850</v>
      </c>
    </row>
    <row r="41" spans="1:4" ht="15.75" customHeight="1" x14ac:dyDescent="0.2">
      <c r="B41" s="13">
        <v>1</v>
      </c>
      <c r="C41" s="14">
        <v>600</v>
      </c>
      <c r="D41" s="14">
        <f t="shared" si="1"/>
        <v>600</v>
      </c>
    </row>
    <row r="42" spans="1:4" ht="15.75" customHeight="1" x14ac:dyDescent="0.2">
      <c r="B42" s="13">
        <v>1</v>
      </c>
      <c r="C42" s="14">
        <v>600</v>
      </c>
      <c r="D42" s="14">
        <f t="shared" si="1"/>
        <v>600</v>
      </c>
    </row>
    <row r="43" spans="1:4" ht="15.75" customHeight="1" x14ac:dyDescent="0.2">
      <c r="B43" s="13">
        <v>1</v>
      </c>
      <c r="C43" s="14">
        <v>850</v>
      </c>
      <c r="D43" s="14">
        <f t="shared" si="1"/>
        <v>850</v>
      </c>
    </row>
    <row r="44" spans="1:4" ht="15.75" customHeight="1" x14ac:dyDescent="0.2">
      <c r="B44" s="13">
        <v>1</v>
      </c>
      <c r="C44" s="14">
        <v>400</v>
      </c>
      <c r="D44" s="14">
        <f t="shared" si="1"/>
        <v>400</v>
      </c>
    </row>
    <row r="45" spans="1:4" ht="15.75" customHeight="1" x14ac:dyDescent="0.2">
      <c r="B45" s="13">
        <v>1</v>
      </c>
      <c r="C45" s="14">
        <v>150</v>
      </c>
      <c r="D45" s="14">
        <f t="shared" si="1"/>
        <v>150</v>
      </c>
    </row>
    <row r="46" spans="1:4" ht="15.75" customHeight="1" x14ac:dyDescent="0.2">
      <c r="B46" s="13">
        <v>1</v>
      </c>
      <c r="C46" s="14">
        <v>2000</v>
      </c>
      <c r="D46" s="14">
        <f t="shared" si="1"/>
        <v>2000</v>
      </c>
    </row>
    <row r="47" spans="1:4" ht="15.75" customHeight="1" x14ac:dyDescent="0.2">
      <c r="B47" s="13">
        <v>1</v>
      </c>
      <c r="C47" s="14">
        <v>30</v>
      </c>
      <c r="D47" s="14">
        <f t="shared" si="1"/>
        <v>30</v>
      </c>
    </row>
    <row r="48" spans="1:4" ht="15.75" customHeight="1" x14ac:dyDescent="0.2">
      <c r="B48" s="13">
        <v>1</v>
      </c>
      <c r="C48" s="14">
        <v>190</v>
      </c>
      <c r="D48" s="14">
        <f t="shared" si="1"/>
        <v>190</v>
      </c>
    </row>
    <row r="49" spans="2:4" ht="15.75" customHeight="1" x14ac:dyDescent="0.2">
      <c r="B49" s="13">
        <v>1</v>
      </c>
      <c r="C49" s="14">
        <v>300</v>
      </c>
      <c r="D49" s="14">
        <f t="shared" si="1"/>
        <v>300</v>
      </c>
    </row>
    <row r="50" spans="2:4" ht="15.75" customHeight="1" x14ac:dyDescent="0.2"/>
    <row r="51" spans="2:4" ht="15.75" customHeight="1" x14ac:dyDescent="0.2">
      <c r="C51" s="16"/>
      <c r="D51" s="17"/>
    </row>
    <row r="52" spans="2:4" ht="15.75" customHeight="1" x14ac:dyDescent="0.2">
      <c r="C52" s="16"/>
      <c r="D52" s="17"/>
    </row>
    <row r="53" spans="2:4" ht="15.75" customHeight="1" x14ac:dyDescent="0.2">
      <c r="C53" s="16"/>
      <c r="D53" s="17"/>
    </row>
    <row r="54" spans="2:4" ht="15.75" customHeight="1" x14ac:dyDescent="0.2">
      <c r="C54" s="16"/>
      <c r="D54" s="17"/>
    </row>
    <row r="55" spans="2:4" ht="15.75" customHeight="1" x14ac:dyDescent="0.2"/>
    <row r="56" spans="2:4" ht="15.75" customHeight="1" x14ac:dyDescent="0.2"/>
    <row r="57" spans="2:4" ht="15.75" customHeight="1" x14ac:dyDescent="0.2"/>
    <row r="58" spans="2:4" ht="15.75" customHeight="1" x14ac:dyDescent="0.2"/>
    <row r="59" spans="2:4" ht="15.75" customHeight="1" x14ac:dyDescent="0.2"/>
    <row r="60" spans="2:4" ht="15.75" customHeight="1" x14ac:dyDescent="0.2"/>
    <row r="61" spans="2:4" ht="15.75" customHeight="1" x14ac:dyDescent="0.2"/>
    <row r="62" spans="2:4" ht="15.75" customHeight="1" x14ac:dyDescent="0.2"/>
    <row r="63" spans="2:4" ht="15.75" customHeight="1" x14ac:dyDescent="0.2"/>
    <row r="64" spans="2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</sheetData>
  <mergeCells count="6">
    <mergeCell ref="E1:M1"/>
    <mergeCell ref="A2:D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2" sqref="A2:D17"/>
    </sheetView>
  </sheetViews>
  <sheetFormatPr defaultColWidth="14.42578125" defaultRowHeight="15" customHeight="1" x14ac:dyDescent="0.25"/>
  <cols>
    <col min="1" max="1" width="120.140625" customWidth="1"/>
    <col min="2" max="2" width="9.140625" customWidth="1"/>
    <col min="3" max="4" width="12.85546875" customWidth="1"/>
    <col min="5" max="6" width="9.140625" customWidth="1"/>
    <col min="7" max="26" width="8.7109375" customWidth="1"/>
  </cols>
  <sheetData>
    <row r="1" spans="1:2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x14ac:dyDescent="0.25">
      <c r="A2" s="3" t="s">
        <v>25</v>
      </c>
      <c r="B2" s="4">
        <v>4</v>
      </c>
      <c r="C2" s="5">
        <v>900</v>
      </c>
      <c r="D2" s="5">
        <f t="shared" ref="D2:D12" si="0">B2*C2</f>
        <v>3600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x14ac:dyDescent="0.25">
      <c r="A3" s="3" t="s">
        <v>26</v>
      </c>
      <c r="B3" s="4">
        <v>1</v>
      </c>
      <c r="C3" s="5">
        <v>3900</v>
      </c>
      <c r="D3" s="5">
        <f t="shared" si="0"/>
        <v>3900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x14ac:dyDescent="0.25">
      <c r="A4" s="3" t="s">
        <v>27</v>
      </c>
      <c r="B4" s="4">
        <v>4</v>
      </c>
      <c r="C4" s="5">
        <v>260</v>
      </c>
      <c r="D4" s="5">
        <f t="shared" si="0"/>
        <v>1040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x14ac:dyDescent="0.25">
      <c r="A5" s="3" t="s">
        <v>28</v>
      </c>
      <c r="B5" s="4">
        <v>4</v>
      </c>
      <c r="C5" s="5">
        <v>40</v>
      </c>
      <c r="D5" s="5">
        <f t="shared" si="0"/>
        <v>160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x14ac:dyDescent="0.25">
      <c r="A6" s="3" t="s">
        <v>29</v>
      </c>
      <c r="B6" s="4">
        <v>1</v>
      </c>
      <c r="C6" s="5">
        <v>1000</v>
      </c>
      <c r="D6" s="5">
        <f t="shared" si="0"/>
        <v>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x14ac:dyDescent="0.25">
      <c r="A7" s="3" t="s">
        <v>22</v>
      </c>
      <c r="B7" s="4">
        <v>1</v>
      </c>
      <c r="C7" s="5">
        <v>400</v>
      </c>
      <c r="D7" s="5">
        <f t="shared" si="0"/>
        <v>400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x14ac:dyDescent="0.25">
      <c r="A8" s="3" t="s">
        <v>30</v>
      </c>
      <c r="B8" s="4">
        <v>1</v>
      </c>
      <c r="C8" s="5">
        <v>100</v>
      </c>
      <c r="D8" s="5">
        <f t="shared" si="0"/>
        <v>100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3" t="s">
        <v>31</v>
      </c>
      <c r="B9" s="4">
        <v>1</v>
      </c>
      <c r="C9" s="5">
        <v>4000</v>
      </c>
      <c r="D9" s="5">
        <f t="shared" si="0"/>
        <v>4000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3" t="s">
        <v>32</v>
      </c>
      <c r="B10" s="4">
        <v>100</v>
      </c>
      <c r="C10" s="5">
        <v>30</v>
      </c>
      <c r="D10" s="5">
        <f t="shared" si="0"/>
        <v>3000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x14ac:dyDescent="0.25">
      <c r="A11" s="3" t="s">
        <v>23</v>
      </c>
      <c r="B11" s="4">
        <v>10</v>
      </c>
      <c r="C11" s="5">
        <v>190</v>
      </c>
      <c r="D11" s="5">
        <f t="shared" si="0"/>
        <v>1900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x14ac:dyDescent="0.25">
      <c r="A12" s="3" t="s">
        <v>24</v>
      </c>
      <c r="B12" s="4">
        <v>4</v>
      </c>
      <c r="C12" s="5">
        <v>1000</v>
      </c>
      <c r="D12" s="5">
        <f t="shared" si="0"/>
        <v>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3"/>
      <c r="B14" s="3"/>
      <c r="C14" s="1" t="s">
        <v>19</v>
      </c>
      <c r="D14" s="5">
        <f>SUM(D2:D12)</f>
        <v>23100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3"/>
      <c r="B15" s="3"/>
      <c r="C15" s="1" t="s">
        <v>20</v>
      </c>
      <c r="D15" s="5">
        <f>D14*5%</f>
        <v>1155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3"/>
      <c r="B16" s="3"/>
      <c r="C16" s="1" t="s">
        <v>21</v>
      </c>
      <c r="D16" s="5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3"/>
      <c r="B17" s="3"/>
      <c r="C17" s="1" t="s">
        <v>3</v>
      </c>
      <c r="D17" s="5">
        <f>SUM(D14:D15)-D16</f>
        <v>24255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92.42578125" customWidth="1"/>
    <col min="2" max="2" width="5.7109375" customWidth="1"/>
    <col min="3" max="3" width="12.5703125" customWidth="1"/>
    <col min="4" max="4" width="12.85546875" customWidth="1"/>
    <col min="5" max="6" width="9.140625" customWidth="1"/>
    <col min="7" max="26" width="8.7109375" customWidth="1"/>
  </cols>
  <sheetData>
    <row r="1" spans="1:2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x14ac:dyDescent="0.25">
      <c r="A2" s="6" t="s">
        <v>33</v>
      </c>
      <c r="B2" s="4">
        <v>4</v>
      </c>
      <c r="C2" s="5">
        <v>3600</v>
      </c>
      <c r="D2" s="5">
        <f t="shared" ref="D2:D8" si="0">B2*C2</f>
        <v>14400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x14ac:dyDescent="0.25">
      <c r="A3" s="3" t="s">
        <v>34</v>
      </c>
      <c r="B3" s="4">
        <v>4</v>
      </c>
      <c r="C3" s="5">
        <v>1200</v>
      </c>
      <c r="D3" s="5">
        <f t="shared" si="0"/>
        <v>4800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x14ac:dyDescent="0.25">
      <c r="A4" s="7" t="s">
        <v>35</v>
      </c>
      <c r="B4" s="4">
        <v>1</v>
      </c>
      <c r="C4" s="5">
        <v>3600</v>
      </c>
      <c r="D4" s="5">
        <f t="shared" si="0"/>
        <v>3600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x14ac:dyDescent="0.25">
      <c r="A5" s="3" t="s">
        <v>36</v>
      </c>
      <c r="B5" s="4">
        <v>1</v>
      </c>
      <c r="C5" s="5">
        <v>200</v>
      </c>
      <c r="D5" s="5">
        <f t="shared" si="0"/>
        <v>200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x14ac:dyDescent="0.25">
      <c r="A6" s="3" t="s">
        <v>30</v>
      </c>
      <c r="B6" s="4">
        <v>1</v>
      </c>
      <c r="C6" s="5">
        <v>100</v>
      </c>
      <c r="D6" s="5">
        <f t="shared" si="0"/>
        <v>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x14ac:dyDescent="0.25">
      <c r="A7" s="3" t="s">
        <v>23</v>
      </c>
      <c r="B7" s="4">
        <v>4</v>
      </c>
      <c r="C7" s="5">
        <v>190</v>
      </c>
      <c r="D7" s="5">
        <f t="shared" si="0"/>
        <v>760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x14ac:dyDescent="0.25">
      <c r="A8" s="3" t="s">
        <v>24</v>
      </c>
      <c r="B8" s="4">
        <v>4</v>
      </c>
      <c r="C8" s="5">
        <v>1000</v>
      </c>
      <c r="D8" s="5">
        <f t="shared" si="0"/>
        <v>4000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3"/>
      <c r="B10" s="3"/>
      <c r="C10" s="1" t="s">
        <v>19</v>
      </c>
      <c r="D10" s="5">
        <f>SUM(D2:D8)</f>
        <v>27860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x14ac:dyDescent="0.25">
      <c r="A11" s="3"/>
      <c r="B11" s="3"/>
      <c r="C11" s="1" t="s">
        <v>20</v>
      </c>
      <c r="D11" s="5">
        <f>D10*5%</f>
        <v>1393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x14ac:dyDescent="0.25">
      <c r="A12" s="3"/>
      <c r="B12" s="3"/>
      <c r="C12" s="1" t="s">
        <v>21</v>
      </c>
      <c r="D12" s="5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3"/>
      <c r="B13" s="3"/>
      <c r="C13" s="1" t="s">
        <v>3</v>
      </c>
      <c r="D13" s="5">
        <f>SUM(D10:D11)-D12</f>
        <v>29253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9"/>
  <sheetViews>
    <sheetView tabSelected="1" workbookViewId="0">
      <selection activeCell="C7" sqref="C7"/>
    </sheetView>
  </sheetViews>
  <sheetFormatPr defaultColWidth="14.42578125" defaultRowHeight="15" customHeight="1" x14ac:dyDescent="0.2"/>
  <cols>
    <col min="1" max="1" width="92.42578125" style="10" bestFit="1" customWidth="1"/>
    <col min="2" max="2" width="5.7109375" style="10" customWidth="1"/>
    <col min="3" max="4" width="12.85546875" style="10" customWidth="1"/>
    <col min="5" max="5" width="9.140625" style="23" customWidth="1"/>
    <col min="6" max="6" width="9.140625" style="20" customWidth="1"/>
    <col min="7" max="7" width="8.7109375" style="20" customWidth="1"/>
    <col min="8" max="9" width="8.7109375" style="21" customWidth="1"/>
    <col min="10" max="11" width="8.7109375" style="22" customWidth="1"/>
    <col min="12" max="13" width="8.7109375" style="9" customWidth="1"/>
    <col min="14" max="26" width="8.7109375" style="10" customWidth="1"/>
    <col min="27" max="16384" width="14.42578125" style="10"/>
  </cols>
  <sheetData>
    <row r="1" spans="1:13" s="24" customFormat="1" ht="15" customHeight="1" x14ac:dyDescent="0.25">
      <c r="E1" s="30" t="s">
        <v>45</v>
      </c>
      <c r="F1" s="30"/>
      <c r="G1" s="30"/>
      <c r="H1" s="30"/>
      <c r="I1" s="30"/>
      <c r="J1" s="30"/>
      <c r="K1" s="30"/>
      <c r="L1" s="30"/>
      <c r="M1" s="30"/>
    </row>
    <row r="2" spans="1:13" s="24" customFormat="1" ht="15" customHeight="1" x14ac:dyDescent="0.25">
      <c r="A2" s="30" t="s">
        <v>37</v>
      </c>
      <c r="B2" s="30"/>
      <c r="C2" s="30"/>
      <c r="D2" s="30"/>
      <c r="F2" s="30" t="s">
        <v>38</v>
      </c>
      <c r="G2" s="30"/>
      <c r="H2" s="30" t="s">
        <v>40</v>
      </c>
      <c r="I2" s="30"/>
      <c r="J2" s="30" t="s">
        <v>41</v>
      </c>
      <c r="K2" s="30"/>
      <c r="L2" s="30" t="s">
        <v>43</v>
      </c>
      <c r="M2" s="30"/>
    </row>
    <row r="3" spans="1:13" s="29" customFormat="1" ht="15" customHeight="1" x14ac:dyDescent="0.25">
      <c r="A3" s="11" t="s">
        <v>0</v>
      </c>
      <c r="B3" s="12" t="s">
        <v>1</v>
      </c>
      <c r="C3" s="12" t="s">
        <v>2</v>
      </c>
      <c r="D3" s="12" t="s">
        <v>3</v>
      </c>
      <c r="E3" s="25" t="s">
        <v>39</v>
      </c>
      <c r="F3" s="26" t="s">
        <v>42</v>
      </c>
      <c r="G3" s="26" t="s">
        <v>3</v>
      </c>
      <c r="H3" s="27" t="s">
        <v>42</v>
      </c>
      <c r="I3" s="27" t="s">
        <v>3</v>
      </c>
      <c r="J3" s="28" t="s">
        <v>42</v>
      </c>
      <c r="K3" s="28" t="s">
        <v>3</v>
      </c>
      <c r="L3" s="24" t="s">
        <v>42</v>
      </c>
      <c r="M3" s="24" t="s">
        <v>3</v>
      </c>
    </row>
    <row r="4" spans="1:13" ht="15" customHeight="1" x14ac:dyDescent="0.2">
      <c r="A4" s="10" t="s">
        <v>66</v>
      </c>
      <c r="B4" s="4">
        <v>6</v>
      </c>
      <c r="C4" s="5">
        <v>2200</v>
      </c>
      <c r="D4" s="5">
        <f t="shared" ref="D4:D16" si="0">B4*C4</f>
        <v>13200</v>
      </c>
      <c r="J4" s="22">
        <v>2100</v>
      </c>
    </row>
    <row r="5" spans="1:13" ht="15" customHeight="1" x14ac:dyDescent="0.2">
      <c r="A5" s="10" t="s">
        <v>65</v>
      </c>
      <c r="B5" s="4">
        <v>1</v>
      </c>
      <c r="C5" s="5">
        <v>5900</v>
      </c>
      <c r="D5" s="5">
        <f t="shared" si="0"/>
        <v>5900</v>
      </c>
    </row>
    <row r="6" spans="1:13" ht="15" customHeight="1" x14ac:dyDescent="0.2">
      <c r="A6" s="3" t="s">
        <v>67</v>
      </c>
      <c r="B6" s="4">
        <v>20</v>
      </c>
      <c r="C6" s="5">
        <v>30</v>
      </c>
      <c r="D6" s="5">
        <f t="shared" si="0"/>
        <v>600</v>
      </c>
    </row>
    <row r="7" spans="1:13" ht="15" customHeight="1" x14ac:dyDescent="0.2">
      <c r="A7" s="3" t="s">
        <v>68</v>
      </c>
      <c r="B7" s="4">
        <v>14</v>
      </c>
      <c r="C7" s="5">
        <v>20</v>
      </c>
      <c r="D7" s="5">
        <f t="shared" si="0"/>
        <v>280</v>
      </c>
    </row>
    <row r="8" spans="1:13" ht="15" customHeight="1" x14ac:dyDescent="0.2">
      <c r="A8" s="3" t="s">
        <v>57</v>
      </c>
      <c r="B8" s="4">
        <v>1</v>
      </c>
      <c r="C8" s="5">
        <v>100</v>
      </c>
      <c r="D8" s="5">
        <f t="shared" si="0"/>
        <v>100</v>
      </c>
    </row>
    <row r="9" spans="1:13" ht="15" customHeight="1" x14ac:dyDescent="0.2">
      <c r="A9" s="3" t="s">
        <v>30</v>
      </c>
      <c r="B9" s="4">
        <v>1</v>
      </c>
      <c r="C9" s="5">
        <v>100</v>
      </c>
      <c r="D9" s="5">
        <f t="shared" si="0"/>
        <v>100</v>
      </c>
    </row>
    <row r="10" spans="1:13" ht="15" customHeight="1" x14ac:dyDescent="0.2">
      <c r="A10" s="3" t="s">
        <v>31</v>
      </c>
      <c r="B10" s="4">
        <v>1</v>
      </c>
      <c r="C10" s="5">
        <v>4000</v>
      </c>
      <c r="D10" s="5">
        <f t="shared" si="0"/>
        <v>4000</v>
      </c>
    </row>
    <row r="11" spans="1:13" ht="15" customHeight="1" x14ac:dyDescent="0.2">
      <c r="A11" s="3" t="s">
        <v>58</v>
      </c>
      <c r="B11" s="4">
        <v>2.5</v>
      </c>
      <c r="C11" s="5">
        <v>1400</v>
      </c>
      <c r="D11" s="5">
        <f t="shared" si="0"/>
        <v>3500</v>
      </c>
    </row>
    <row r="12" spans="1:13" ht="15" customHeight="1" x14ac:dyDescent="0.2">
      <c r="A12" s="3" t="s">
        <v>62</v>
      </c>
      <c r="B12" s="4">
        <v>40</v>
      </c>
      <c r="C12" s="5">
        <v>10</v>
      </c>
      <c r="D12" s="5">
        <f t="shared" si="0"/>
        <v>400</v>
      </c>
    </row>
    <row r="13" spans="1:13" ht="15" customHeight="1" x14ac:dyDescent="0.2">
      <c r="A13" s="3" t="s">
        <v>60</v>
      </c>
      <c r="B13" s="4">
        <v>20</v>
      </c>
      <c r="C13" s="5">
        <v>60</v>
      </c>
      <c r="D13" s="5">
        <f t="shared" si="0"/>
        <v>1200</v>
      </c>
    </row>
    <row r="14" spans="1:13" ht="15" customHeight="1" x14ac:dyDescent="0.2">
      <c r="A14" s="3" t="s">
        <v>61</v>
      </c>
      <c r="B14" s="4">
        <v>6</v>
      </c>
      <c r="C14" s="5">
        <v>100</v>
      </c>
      <c r="D14" s="5">
        <f t="shared" si="0"/>
        <v>600</v>
      </c>
    </row>
    <row r="15" spans="1:13" ht="15" customHeight="1" x14ac:dyDescent="0.2">
      <c r="A15" s="3" t="s">
        <v>23</v>
      </c>
      <c r="B15" s="4">
        <v>10</v>
      </c>
      <c r="C15" s="5">
        <v>190</v>
      </c>
      <c r="D15" s="5">
        <f t="shared" si="0"/>
        <v>1900</v>
      </c>
    </row>
    <row r="16" spans="1:13" ht="15" customHeight="1" x14ac:dyDescent="0.2">
      <c r="A16" s="15" t="s">
        <v>18</v>
      </c>
      <c r="B16" s="4">
        <v>6</v>
      </c>
      <c r="C16" s="5">
        <v>1000</v>
      </c>
      <c r="D16" s="5">
        <f t="shared" si="0"/>
        <v>6000</v>
      </c>
    </row>
    <row r="17" spans="1:4" ht="15" customHeight="1" x14ac:dyDescent="0.2">
      <c r="A17" s="3"/>
      <c r="B17" s="3"/>
      <c r="C17" s="3"/>
      <c r="D17" s="3"/>
    </row>
    <row r="18" spans="1:4" ht="15" customHeight="1" x14ac:dyDescent="0.2">
      <c r="A18" s="3"/>
      <c r="B18" s="3"/>
      <c r="C18" s="1" t="s">
        <v>19</v>
      </c>
      <c r="D18" s="5">
        <f>SUM(D4:D16)</f>
        <v>37780</v>
      </c>
    </row>
    <row r="19" spans="1:4" ht="15" customHeight="1" x14ac:dyDescent="0.2">
      <c r="A19" s="3"/>
      <c r="B19" s="3"/>
      <c r="C19" s="1" t="s">
        <v>20</v>
      </c>
      <c r="D19" s="5">
        <f>D18*5%</f>
        <v>1889</v>
      </c>
    </row>
    <row r="20" spans="1:4" ht="15" customHeight="1" x14ac:dyDescent="0.2">
      <c r="A20" s="3"/>
      <c r="B20" s="3"/>
      <c r="C20" s="1" t="s">
        <v>21</v>
      </c>
      <c r="D20" s="5">
        <v>0</v>
      </c>
    </row>
    <row r="21" spans="1:4" ht="15" customHeight="1" x14ac:dyDescent="0.2">
      <c r="A21" s="3"/>
      <c r="B21" s="3"/>
      <c r="C21" s="1" t="s">
        <v>3</v>
      </c>
      <c r="D21" s="5">
        <f>SUM(D18:D19)-D20</f>
        <v>39669</v>
      </c>
    </row>
    <row r="22" spans="1:4" s="24" customFormat="1" x14ac:dyDescent="0.25">
      <c r="A22" s="8" t="s">
        <v>44</v>
      </c>
    </row>
    <row r="23" spans="1:4" ht="15.75" customHeight="1" x14ac:dyDescent="0.2">
      <c r="A23" s="18" t="s">
        <v>0</v>
      </c>
      <c r="B23" s="19" t="s">
        <v>1</v>
      </c>
      <c r="C23" s="19" t="s">
        <v>2</v>
      </c>
      <c r="D23" s="19" t="s">
        <v>3</v>
      </c>
    </row>
    <row r="24" spans="1:4" ht="15.75" customHeight="1" x14ac:dyDescent="0.2">
      <c r="A24" s="15" t="s">
        <v>18</v>
      </c>
      <c r="B24" s="13">
        <v>1</v>
      </c>
      <c r="C24" s="14">
        <v>15000</v>
      </c>
      <c r="D24" s="14">
        <f t="shared" ref="D24:D48" si="1">B24*C24</f>
        <v>15000</v>
      </c>
    </row>
    <row r="25" spans="1:4" ht="15.75" customHeight="1" x14ac:dyDescent="0.2">
      <c r="A25" s="3" t="s">
        <v>25</v>
      </c>
      <c r="B25" s="13"/>
      <c r="C25" s="14"/>
      <c r="D25" s="14"/>
    </row>
    <row r="26" spans="1:4" ht="15.75" customHeight="1" x14ac:dyDescent="0.2">
      <c r="A26" s="10" t="s">
        <v>64</v>
      </c>
      <c r="B26" s="13">
        <v>1</v>
      </c>
      <c r="C26" s="14"/>
      <c r="D26" s="14"/>
    </row>
    <row r="27" spans="1:4" ht="15.75" customHeight="1" x14ac:dyDescent="0.2">
      <c r="A27" s="3" t="s">
        <v>26</v>
      </c>
      <c r="B27" s="13"/>
      <c r="C27" s="14"/>
      <c r="D27" s="14"/>
    </row>
    <row r="28" spans="1:4" ht="15.75" customHeight="1" x14ac:dyDescent="0.2">
      <c r="A28" s="10" t="s">
        <v>63</v>
      </c>
      <c r="B28" s="13">
        <v>1</v>
      </c>
      <c r="C28" s="14">
        <v>460</v>
      </c>
      <c r="D28" s="14">
        <f t="shared" si="1"/>
        <v>460</v>
      </c>
    </row>
    <row r="29" spans="1:4" ht="15.75" customHeight="1" x14ac:dyDescent="0.2">
      <c r="A29" s="3" t="s">
        <v>27</v>
      </c>
      <c r="B29" s="13">
        <v>1</v>
      </c>
      <c r="C29" s="14">
        <v>3000</v>
      </c>
      <c r="D29" s="14">
        <f t="shared" si="1"/>
        <v>3000</v>
      </c>
    </row>
    <row r="30" spans="1:4" ht="15.75" customHeight="1" x14ac:dyDescent="0.2">
      <c r="A30" s="3" t="s">
        <v>28</v>
      </c>
      <c r="B30" s="13">
        <v>1</v>
      </c>
      <c r="C30" s="14">
        <v>250</v>
      </c>
      <c r="D30" s="14">
        <f t="shared" si="1"/>
        <v>250</v>
      </c>
    </row>
    <row r="31" spans="1:4" ht="15.75" customHeight="1" x14ac:dyDescent="0.2">
      <c r="A31" s="3" t="s">
        <v>29</v>
      </c>
      <c r="B31" s="13">
        <v>1</v>
      </c>
      <c r="C31" s="14"/>
      <c r="D31" s="14"/>
    </row>
    <row r="32" spans="1:4" ht="15.75" customHeight="1" x14ac:dyDescent="0.2">
      <c r="A32" s="3" t="s">
        <v>22</v>
      </c>
      <c r="B32" s="13">
        <v>1</v>
      </c>
      <c r="C32" s="14"/>
      <c r="D32" s="14"/>
    </row>
    <row r="33" spans="1:4" ht="15.75" customHeight="1" x14ac:dyDescent="0.2">
      <c r="A33" s="3" t="s">
        <v>30</v>
      </c>
      <c r="B33" s="13">
        <v>1</v>
      </c>
      <c r="C33" s="14"/>
      <c r="D33" s="14"/>
    </row>
    <row r="34" spans="1:4" ht="15.75" customHeight="1" x14ac:dyDescent="0.2">
      <c r="A34" s="3" t="s">
        <v>31</v>
      </c>
      <c r="B34" s="13">
        <v>1</v>
      </c>
      <c r="C34" s="14"/>
      <c r="D34" s="14"/>
    </row>
    <row r="35" spans="1:4" ht="15.75" customHeight="1" x14ac:dyDescent="0.2">
      <c r="A35" s="10" t="s">
        <v>54</v>
      </c>
      <c r="B35" s="13"/>
      <c r="C35" s="14"/>
      <c r="D35" s="14"/>
    </row>
    <row r="36" spans="1:4" ht="15.75" customHeight="1" x14ac:dyDescent="0.2">
      <c r="A36" s="10" t="s">
        <v>55</v>
      </c>
      <c r="B36" s="13"/>
      <c r="C36" s="14"/>
      <c r="D36" s="14"/>
    </row>
    <row r="37" spans="1:4" ht="15.75" customHeight="1" x14ac:dyDescent="0.2">
      <c r="A37" s="10" t="s">
        <v>56</v>
      </c>
      <c r="B37" s="13">
        <v>1</v>
      </c>
      <c r="C37" s="14"/>
      <c r="D37" s="14"/>
    </row>
    <row r="38" spans="1:4" ht="15.75" customHeight="1" x14ac:dyDescent="0.2">
      <c r="A38" s="10" t="s">
        <v>53</v>
      </c>
      <c r="B38" s="13">
        <v>1</v>
      </c>
      <c r="C38" s="14">
        <v>1300</v>
      </c>
      <c r="D38" s="14">
        <f t="shared" si="1"/>
        <v>1300</v>
      </c>
    </row>
    <row r="39" spans="1:4" ht="15.75" customHeight="1" x14ac:dyDescent="0.2">
      <c r="A39" s="10" t="s">
        <v>17</v>
      </c>
      <c r="B39" s="13">
        <v>1</v>
      </c>
      <c r="C39" s="14">
        <v>850</v>
      </c>
      <c r="D39" s="14">
        <f t="shared" si="1"/>
        <v>850</v>
      </c>
    </row>
    <row r="40" spans="1:4" ht="15.75" customHeight="1" x14ac:dyDescent="0.2">
      <c r="B40" s="13">
        <v>1</v>
      </c>
      <c r="C40" s="14">
        <v>600</v>
      </c>
      <c r="D40" s="14">
        <f t="shared" si="1"/>
        <v>600</v>
      </c>
    </row>
    <row r="41" spans="1:4" ht="15.75" customHeight="1" x14ac:dyDescent="0.2">
      <c r="B41" s="13">
        <v>1</v>
      </c>
      <c r="C41" s="14">
        <v>600</v>
      </c>
      <c r="D41" s="14">
        <f t="shared" si="1"/>
        <v>600</v>
      </c>
    </row>
    <row r="42" spans="1:4" ht="15.75" customHeight="1" x14ac:dyDescent="0.2">
      <c r="B42" s="13">
        <v>1</v>
      </c>
      <c r="C42" s="14">
        <v>850</v>
      </c>
      <c r="D42" s="14">
        <f t="shared" si="1"/>
        <v>850</v>
      </c>
    </row>
    <row r="43" spans="1:4" ht="15.75" customHeight="1" x14ac:dyDescent="0.2">
      <c r="B43" s="13">
        <v>1</v>
      </c>
      <c r="C43" s="14">
        <v>400</v>
      </c>
      <c r="D43" s="14">
        <f t="shared" si="1"/>
        <v>400</v>
      </c>
    </row>
    <row r="44" spans="1:4" ht="15.75" customHeight="1" x14ac:dyDescent="0.2">
      <c r="B44" s="13">
        <v>1</v>
      </c>
      <c r="C44" s="14">
        <v>150</v>
      </c>
      <c r="D44" s="14">
        <f t="shared" si="1"/>
        <v>150</v>
      </c>
    </row>
    <row r="45" spans="1:4" ht="15.75" customHeight="1" x14ac:dyDescent="0.2">
      <c r="B45" s="13">
        <v>1</v>
      </c>
      <c r="C45" s="14">
        <v>2000</v>
      </c>
      <c r="D45" s="14">
        <f t="shared" si="1"/>
        <v>2000</v>
      </c>
    </row>
    <row r="46" spans="1:4" ht="15.75" customHeight="1" x14ac:dyDescent="0.2">
      <c r="B46" s="13">
        <v>1</v>
      </c>
      <c r="C46" s="14">
        <v>30</v>
      </c>
      <c r="D46" s="14">
        <f t="shared" si="1"/>
        <v>30</v>
      </c>
    </row>
    <row r="47" spans="1:4" ht="15.75" customHeight="1" x14ac:dyDescent="0.2">
      <c r="B47" s="13">
        <v>1</v>
      </c>
      <c r="C47" s="14">
        <v>190</v>
      </c>
      <c r="D47" s="14">
        <f t="shared" si="1"/>
        <v>190</v>
      </c>
    </row>
    <row r="48" spans="1:4" ht="15.75" customHeight="1" x14ac:dyDescent="0.2">
      <c r="B48" s="13">
        <v>1</v>
      </c>
      <c r="C48" s="14">
        <v>300</v>
      </c>
      <c r="D48" s="14">
        <f t="shared" si="1"/>
        <v>300</v>
      </c>
    </row>
    <row r="49" spans="3:4" ht="15.75" customHeight="1" x14ac:dyDescent="0.2"/>
    <row r="50" spans="3:4" ht="15.75" customHeight="1" x14ac:dyDescent="0.2">
      <c r="C50" s="16"/>
      <c r="D50" s="17"/>
    </row>
    <row r="51" spans="3:4" ht="15.75" customHeight="1" x14ac:dyDescent="0.2">
      <c r="C51" s="16"/>
      <c r="D51" s="17"/>
    </row>
    <row r="52" spans="3:4" ht="15.75" customHeight="1" x14ac:dyDescent="0.2">
      <c r="C52" s="16"/>
      <c r="D52" s="17"/>
    </row>
    <row r="53" spans="3:4" ht="15.75" customHeight="1" x14ac:dyDescent="0.2">
      <c r="C53" s="16"/>
      <c r="D53" s="17"/>
    </row>
    <row r="54" spans="3:4" ht="15.75" customHeight="1" x14ac:dyDescent="0.2"/>
    <row r="55" spans="3:4" ht="15.75" customHeight="1" x14ac:dyDescent="0.2"/>
    <row r="56" spans="3:4" ht="15.75" customHeight="1" x14ac:dyDescent="0.2"/>
    <row r="57" spans="3:4" ht="15.75" customHeight="1" x14ac:dyDescent="0.2"/>
    <row r="58" spans="3:4" ht="15.75" customHeight="1" x14ac:dyDescent="0.2"/>
    <row r="59" spans="3:4" ht="15.75" customHeight="1" x14ac:dyDescent="0.2"/>
    <row r="60" spans="3:4" ht="15.75" customHeight="1" x14ac:dyDescent="0.2"/>
    <row r="61" spans="3:4" ht="15.75" customHeight="1" x14ac:dyDescent="0.2"/>
    <row r="62" spans="3:4" ht="15.75" customHeight="1" x14ac:dyDescent="0.2"/>
    <row r="63" spans="3:4" ht="15.75" customHeight="1" x14ac:dyDescent="0.2"/>
    <row r="64" spans="3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6">
    <mergeCell ref="E1:M1"/>
    <mergeCell ref="A2:D2"/>
    <mergeCell ref="F2:G2"/>
    <mergeCell ref="H2:I2"/>
    <mergeCell ref="J2:K2"/>
    <mergeCell ref="L2:M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Cerca electrica</vt:lpstr>
      <vt:lpstr>Camera analogica +</vt:lpstr>
      <vt:lpstr>Camera analogica</vt:lpstr>
      <vt:lpstr>Camera Wi-Fi</vt:lpstr>
      <vt:lpstr>Camera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Gonsalves Ubisse</dc:creator>
  <cp:lastModifiedBy>bitoll857@hotmail.com</cp:lastModifiedBy>
  <dcterms:created xsi:type="dcterms:W3CDTF">2015-06-05T18:17:20Z</dcterms:created>
  <dcterms:modified xsi:type="dcterms:W3CDTF">2026-03-22T02:25:12Z</dcterms:modified>
</cp:coreProperties>
</file>