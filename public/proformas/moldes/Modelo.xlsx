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Ubisse\Documents\"/>
    </mc:Choice>
  </mc:AlternateContent>
  <xr:revisionPtr revIDLastSave="0" documentId="13_ncr:1_{F7B3388B-6A33-42B0-B19A-D590C3B5975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erca electrica" sheetId="1" r:id="rId1"/>
    <sheet name="Camera analogica +" sheetId="5" r:id="rId2"/>
    <sheet name="Camera Wi-Fi" sheetId="3" r:id="rId3"/>
    <sheet name="Camera IP" sheetId="4" r:id="rId4"/>
    <sheet name="Internet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1" i="5" l="1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18" i="6"/>
  <c r="E17" i="6"/>
  <c r="E16" i="6"/>
  <c r="E15" i="6"/>
  <c r="E14" i="6"/>
  <c r="E13" i="6"/>
  <c r="E12" i="6"/>
  <c r="E11" i="6"/>
  <c r="E10" i="6"/>
  <c r="E9" i="6"/>
  <c r="E8" i="6"/>
  <c r="E7" i="6"/>
  <c r="E5" i="6"/>
  <c r="E4" i="6"/>
  <c r="E27" i="5"/>
  <c r="E26" i="4"/>
  <c r="E27" i="4"/>
  <c r="E28" i="4"/>
  <c r="E29" i="4"/>
  <c r="E30" i="4"/>
  <c r="E31" i="4"/>
  <c r="E32" i="4"/>
  <c r="E33" i="4"/>
  <c r="E34" i="4"/>
  <c r="E35" i="4"/>
  <c r="E36" i="4"/>
  <c r="E37" i="4"/>
  <c r="E15" i="4"/>
  <c r="E14" i="4"/>
  <c r="E41" i="4"/>
  <c r="E44" i="4"/>
  <c r="E43" i="4"/>
  <c r="E42" i="4"/>
  <c r="E40" i="4"/>
  <c r="E39" i="4"/>
  <c r="E38" i="4"/>
  <c r="E25" i="4"/>
  <c r="D18" i="1"/>
  <c r="E16" i="5"/>
  <c r="E15" i="5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24" i="4"/>
  <c r="E16" i="4"/>
  <c r="E13" i="4"/>
  <c r="E12" i="4"/>
  <c r="E11" i="4"/>
  <c r="E10" i="4"/>
  <c r="E9" i="4"/>
  <c r="E8" i="4"/>
  <c r="E7" i="4"/>
  <c r="E6" i="4"/>
  <c r="E5" i="4"/>
  <c r="E4" i="4"/>
  <c r="E14" i="5"/>
  <c r="E42" i="5"/>
  <c r="E37" i="5"/>
  <c r="E36" i="5"/>
  <c r="E25" i="5"/>
  <c r="E26" i="5"/>
  <c r="E28" i="5"/>
  <c r="E29" i="5"/>
  <c r="E30" i="5"/>
  <c r="E32" i="5"/>
  <c r="E33" i="5"/>
  <c r="E34" i="5"/>
  <c r="E35" i="5"/>
  <c r="E38" i="5"/>
  <c r="E39" i="5"/>
  <c r="E40" i="5"/>
  <c r="E41" i="5"/>
  <c r="E43" i="5"/>
  <c r="E44" i="5"/>
  <c r="E45" i="5"/>
  <c r="E17" i="5"/>
  <c r="E13" i="5"/>
  <c r="E12" i="5"/>
  <c r="E11" i="5"/>
  <c r="E10" i="5"/>
  <c r="E9" i="5"/>
  <c r="E8" i="5"/>
  <c r="E7" i="5"/>
  <c r="E6" i="5"/>
  <c r="E5" i="5"/>
  <c r="E4" i="5"/>
  <c r="E56" i="5"/>
  <c r="E55" i="5"/>
  <c r="E54" i="5"/>
  <c r="E53" i="5"/>
  <c r="E52" i="5"/>
  <c r="E51" i="5"/>
  <c r="E50" i="5"/>
  <c r="E49" i="5"/>
  <c r="E48" i="5"/>
  <c r="E47" i="5"/>
  <c r="E46" i="5"/>
  <c r="E21" i="1"/>
  <c r="F21" i="1"/>
  <c r="G21" i="1"/>
  <c r="G22" i="1" s="1"/>
  <c r="G24" i="1" s="1"/>
  <c r="H21" i="1"/>
  <c r="H22" i="1" s="1"/>
  <c r="H24" i="1" s="1"/>
  <c r="I21" i="1"/>
  <c r="J21" i="1"/>
  <c r="J22" i="1" s="1"/>
  <c r="K21" i="1"/>
  <c r="K22" i="1" s="1"/>
  <c r="K24" i="1" s="1"/>
  <c r="L21" i="1"/>
  <c r="L22" i="1" s="1"/>
  <c r="L24" i="1" s="1"/>
  <c r="M21" i="1"/>
  <c r="D8" i="3"/>
  <c r="D7" i="3"/>
  <c r="D6" i="3"/>
  <c r="D5" i="3"/>
  <c r="D4" i="3"/>
  <c r="D3" i="3"/>
  <c r="D2" i="3"/>
  <c r="D10" i="3" s="1"/>
  <c r="D47" i="1"/>
  <c r="D46" i="1"/>
  <c r="D45" i="1"/>
  <c r="D44" i="1"/>
  <c r="D43" i="1"/>
  <c r="D42" i="1"/>
  <c r="D41" i="1"/>
  <c r="D40" i="1"/>
  <c r="D39" i="1"/>
  <c r="D38" i="1"/>
  <c r="D37" i="1"/>
  <c r="D31" i="1"/>
  <c r="D30" i="1"/>
  <c r="D29" i="1"/>
  <c r="D27" i="1"/>
  <c r="D19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E20" i="6" l="1"/>
  <c r="E21" i="6" s="1"/>
  <c r="E23" i="6" s="1"/>
  <c r="E18" i="4"/>
  <c r="E19" i="4" s="1"/>
  <c r="E21" i="4" s="1"/>
  <c r="E19" i="5"/>
  <c r="E20" i="5" s="1"/>
  <c r="F22" i="1"/>
  <c r="F24" i="1" s="1"/>
  <c r="M22" i="1"/>
  <c r="M24" i="1" s="1"/>
  <c r="I22" i="1"/>
  <c r="I24" i="1" s="1"/>
  <c r="E22" i="1"/>
  <c r="E24" i="1" s="1"/>
  <c r="J24" i="1"/>
  <c r="D21" i="1"/>
  <c r="D11" i="3"/>
  <c r="D13" i="3" s="1"/>
  <c r="D22" i="1" l="1"/>
  <c r="D24" i="1" s="1"/>
  <c r="E22" i="5"/>
</calcChain>
</file>

<file path=xl/sharedStrings.xml><?xml version="1.0" encoding="utf-8"?>
<sst xmlns="http://schemas.openxmlformats.org/spreadsheetml/2006/main" count="248" uniqueCount="94">
  <si>
    <t>Descrição</t>
  </si>
  <si>
    <t>Qtd.</t>
  </si>
  <si>
    <t>Preço Uni.</t>
  </si>
  <si>
    <t>Total</t>
  </si>
  <si>
    <t>Nemtek Wizord 2 Energizador</t>
  </si>
  <si>
    <t>Nemtek Poste galvanizados de 6 linhas esboço quadrado</t>
  </si>
  <si>
    <t>Nemtek Arrame de aço 680 metros</t>
  </si>
  <si>
    <t>Nemtek Electro terra 1 metro</t>
  </si>
  <si>
    <t>Nemtek Caixa de molas 50PCs</t>
  </si>
  <si>
    <t>Nemtek Pacote de ferrules 100PCs</t>
  </si>
  <si>
    <t>Nemtek Sirene de buzina 12V</t>
  </si>
  <si>
    <t>Nemtek Luz estroboscópica 12V</t>
  </si>
  <si>
    <t>Nemtek Pacote de ganchos 100PCs</t>
  </si>
  <si>
    <t>Pacote de buchas 8x80mm 50PCs</t>
  </si>
  <si>
    <t>Nemtek Placa de aviso</t>
  </si>
  <si>
    <t>Nemtek Cabo HT aço 50 metros</t>
  </si>
  <si>
    <t>ZKTeck Cabo UTP CAT6 1 metro</t>
  </si>
  <si>
    <t>Calha plástica 25x16 mm 2 metros</t>
  </si>
  <si>
    <t>Instalação, configuração e testes</t>
  </si>
  <si>
    <t>Subtotal</t>
  </si>
  <si>
    <t>IVA 5%</t>
  </si>
  <si>
    <t>Desconto</t>
  </si>
  <si>
    <t>Pacote de buchas  8x80mm</t>
  </si>
  <si>
    <t>Calha 25x16 mm</t>
  </si>
  <si>
    <t>Mão de Obra</t>
  </si>
  <si>
    <t>Hikvision DS-1H18S/E(C) Video transceiver Balun</t>
  </si>
  <si>
    <t xml:space="preserve">PSU Power Jack para CCTV </t>
  </si>
  <si>
    <t>Fonte de Alimenta 12V 5A</t>
  </si>
  <si>
    <t>Cintas 5x300MM(100PCS PER BAG)</t>
  </si>
  <si>
    <t>Disco rígido Seagate SkyHawk de 1 TB para vigilância (ST1000VX005)</t>
  </si>
  <si>
    <t>RJ45 Cat6 U/UTP patch cord - 1m</t>
  </si>
  <si>
    <t>Câmera doméstica inteligente EZVIZ H6c Pro 2K + panorâmica e inclinação</t>
  </si>
  <si>
    <t>Cartão de memória SanDisk Ultra 64GB uSD</t>
  </si>
  <si>
    <t>Router LB-link 4G ( cartão sim )</t>
  </si>
  <si>
    <t>Pacote de buchas  8x40mm</t>
  </si>
  <si>
    <t>Factura</t>
  </si>
  <si>
    <t>PlusTech</t>
  </si>
  <si>
    <t>Qtdd</t>
  </si>
  <si>
    <t>Muzammil</t>
  </si>
  <si>
    <t>P&amp;Partners</t>
  </si>
  <si>
    <t>Preço</t>
  </si>
  <si>
    <t>Bitoll</t>
  </si>
  <si>
    <t>Produtos</t>
  </si>
  <si>
    <t>Permite a fazeres simulações</t>
  </si>
  <si>
    <t>Nemtek Wizord 4 Energizador</t>
  </si>
  <si>
    <t>Nemtek Poste galvanizados de 8 linhas esboço quadrado</t>
  </si>
  <si>
    <t>Nemtek Poste galvanizados de 6 linhas varão</t>
  </si>
  <si>
    <t>Nemtek Arrame de aço 1.0 500 metros</t>
  </si>
  <si>
    <t>Nemtek Arrame de aço 1.0 680 metros</t>
  </si>
  <si>
    <t>Nemtek Arrame de aço 1.0 1988 metros</t>
  </si>
  <si>
    <t>Nemtek Arrame de aço 1.0 1200 metros</t>
  </si>
  <si>
    <t>Calha plástica 16x16 mm 2 metros</t>
  </si>
  <si>
    <t>Cabo UTP CAT6 1 metro</t>
  </si>
  <si>
    <t>Cabo UTP CAT6 100 metro</t>
  </si>
  <si>
    <t>Cabo UTP CAT6 305 metro</t>
  </si>
  <si>
    <t>IVA 12%</t>
  </si>
  <si>
    <t>Instalação, configuração e teste</t>
  </si>
  <si>
    <t>UNV Camera UAC-B112-AF28-W 2.8mm ColorHunter</t>
  </si>
  <si>
    <t>Hikvision DVR AcuSense de 4 canais, 1080p, formato 1U, H.265 - IDS-7204HQHI-M1/XT</t>
  </si>
  <si>
    <t>UNV DVR XVR301-04Q</t>
  </si>
  <si>
    <t>Hikvision DVR AcuSense de 8 canais, 1080p, formato 1U, H.265 - iDS-7208HQHI-M1/XT</t>
  </si>
  <si>
    <t>UNV DVR XVR301-08Q</t>
  </si>
  <si>
    <t>Fonte de Alimenta 12V 4A tampa metalica</t>
  </si>
  <si>
    <t>Fonte de Alimenta 12V 8A  tampa metalica</t>
  </si>
  <si>
    <t>Cabo UTP CAT6 1 metro preparado</t>
  </si>
  <si>
    <t>Pacote de buchas  6x40mm</t>
  </si>
  <si>
    <t>Caixa de derivação 85x85x50 mm plastica</t>
  </si>
  <si>
    <t xml:space="preserve">Conector Ethernet RJ45 </t>
  </si>
  <si>
    <t>Protetor Ethernet RJ45</t>
  </si>
  <si>
    <t>NVR Tiandy de 8 canais, 1080p, formato 1U, TC-R3108 AK Series</t>
  </si>
  <si>
    <t>Câmera Tiandy TC-C321N 1CNB-28 5MP(2.8mm)</t>
  </si>
  <si>
    <t>Tubo anelado 16mm</t>
  </si>
  <si>
    <t>Custo adicional</t>
  </si>
  <si>
    <t>Fonte de Alimenta 12V 8A</t>
  </si>
  <si>
    <t>Disco rígido Seagate SkyHawk de 2 TB para vigilância (ST1000VX005)</t>
  </si>
  <si>
    <t>NVR Tiandy de 8 canais, 1080p, formato 1U, TC-R3108 AK Series, POE</t>
  </si>
  <si>
    <t>NVR Hikvision de 32 canais, Série Pro, Formato 1U, 12MP, 4K, 2 SATA, VGA, HDMI, H.265+, DS-7632NXI-K2(D)</t>
  </si>
  <si>
    <t>NVR Hikvision de 16 canais, Série Q, Formato 1U, 8MP, 4K, 2 SATA, VGA, HDMI, H.265+, DS-7616NI-Q2</t>
  </si>
  <si>
    <t>Câmera Hikvision IP Bullet, Série ColorVu Pro, 8MP, 4K, AcuSense, Microfone Embutido, IP67, PoE, DS-2CD2087G2-L</t>
  </si>
  <si>
    <t>Câmera Hikvision IP Bullet, Série ColorVu, 2MP, Full HD, Luz Branca 30m, Microfone Embutido, IP67, PoE, DS-2CD1027G2-L</t>
  </si>
  <si>
    <t>NVR Hikvision de 8 canais com 8 Portas PoE, Série Q, Formato 1U, 8MP, 4K, 2 SATA, VGA, HDMI, H.265+, DS-7608NI-Q2/8P</t>
  </si>
  <si>
    <t>NVR Hikvision de 16 canais com 16 Portas PoE, Série Q, Formato 1U, 8MP, 4K, 2 SATA, VGA, HDMI, H.265+, DS-7616NI-Q2/16P</t>
  </si>
  <si>
    <t xml:space="preserve"> Câmera Hikvision IP Bullet, Série ColorVu Pro, 4MP, AcuSense, Microfone Embutido, IP67, PoE, DS-2CD2047G2-LU/SL</t>
  </si>
  <si>
    <t>Câmera Hikvision Analógica Bullet, Turbo HD, Série Smart Hybrid Light, 2MP, Áudio Bidirecional, Lente 2.8mm, IP67, DS-2CE16D0T-LXTS</t>
  </si>
  <si>
    <t>Câmera Hikvision Analógica Turret, Turbo HD, Série ColorVu, 2MP, Smart Hybrid Light, Microfone Embutido, DS-2CE70DF0T-LPFS</t>
  </si>
  <si>
    <t>Antena Starlink Mini</t>
  </si>
  <si>
    <t xml:space="preserve">Roteador </t>
  </si>
  <si>
    <t>Conector RJ45</t>
  </si>
  <si>
    <t>Protetor RJ45</t>
  </si>
  <si>
    <t>Tomada RJ45</t>
  </si>
  <si>
    <t>Switch inteligente</t>
  </si>
  <si>
    <t>Transpporte do material</t>
  </si>
  <si>
    <t>Hikvision DVR AcuSense de 16 canais, 1080p, formato 1U, H.265 - iDS-7216HQHI-M1/XT</t>
  </si>
  <si>
    <t>RJ45 Cat6 U/UTP patch cord - 305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</si>
</sst>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* #,##0.00_-;\-* #,##0.00_-;_-* &quot;-&quot;_-;_-@"/>
  </numFmts>
  <fonts count="12" x14ac:knownFonts="1">
    <font>
      <sz val="11"/>
      <color theme="1"/>
      <name val="Calibri"/>
      <scheme val="minor"/>
    </font>
    <font>
      <b/>
      <sz val="12"/>
      <color rgb="FF000000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rgb="FF333333"/>
      <name val="Arial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0" fontId="4" fillId="0" borderId="0" xfId="0" applyFont="1" applyAlignment="1">
      <alignment vertical="center" wrapText="1"/>
    </xf>
    <xf numFmtId="0" fontId="5" fillId="2" borderId="0" xfId="0" applyFont="1" applyFill="1" applyAlignment="1">
      <alignment horizontal="center"/>
    </xf>
    <xf numFmtId="0" fontId="6" fillId="2" borderId="0" xfId="0" applyFont="1" applyFill="1"/>
    <xf numFmtId="0" fontId="7" fillId="0" borderId="0" xfId="0" applyFont="1"/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right" vertical="center"/>
    </xf>
    <xf numFmtId="0" fontId="8" fillId="0" borderId="0" xfId="0" applyFont="1" applyAlignment="1">
      <alignment horizontal="right" vertical="center"/>
    </xf>
    <xf numFmtId="164" fontId="8" fillId="0" borderId="0" xfId="0" applyNumberFormat="1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64" fontId="8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7" fillId="3" borderId="0" xfId="0" applyFont="1" applyFill="1"/>
    <xf numFmtId="0" fontId="7" fillId="4" borderId="0" xfId="0" applyFont="1" applyFill="1"/>
    <xf numFmtId="0" fontId="7" fillId="5" borderId="0" xfId="0" applyFont="1" applyFill="1"/>
    <xf numFmtId="0" fontId="7" fillId="6" borderId="0" xfId="0" applyFont="1" applyFill="1"/>
    <xf numFmtId="0" fontId="5" fillId="2" borderId="0" xfId="0" applyFont="1" applyFill="1"/>
    <xf numFmtId="0" fontId="10" fillId="6" borderId="0" xfId="0" applyFont="1" applyFill="1"/>
    <xf numFmtId="0" fontId="10" fillId="3" borderId="0" xfId="0" applyFont="1" applyFill="1"/>
    <xf numFmtId="0" fontId="10" fillId="4" borderId="0" xfId="0" applyFont="1" applyFill="1"/>
    <xf numFmtId="0" fontId="10" fillId="5" borderId="0" xfId="0" applyFont="1" applyFill="1"/>
    <xf numFmtId="0" fontId="10" fillId="0" borderId="0" xfId="0" applyFont="1"/>
    <xf numFmtId="44" fontId="7" fillId="3" borderId="0" xfId="0" applyNumberFormat="1" applyFont="1" applyFill="1"/>
    <xf numFmtId="44" fontId="10" fillId="3" borderId="0" xfId="0" applyNumberFormat="1" applyFont="1" applyFill="1"/>
    <xf numFmtId="44" fontId="5" fillId="2" borderId="0" xfId="0" applyNumberFormat="1" applyFont="1" applyFill="1"/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8"/>
  <sheetViews>
    <sheetView tabSelected="1" workbookViewId="0">
      <selection activeCell="A4" sqref="A4:D24"/>
    </sheetView>
  </sheetViews>
  <sheetFormatPr defaultColWidth="14.42578125" defaultRowHeight="15" customHeight="1" x14ac:dyDescent="0.2"/>
  <cols>
    <col min="1" max="1" width="59.42578125" style="10" customWidth="1"/>
    <col min="2" max="2" width="5.7109375" style="10" customWidth="1"/>
    <col min="3" max="4" width="12.85546875" style="10" customWidth="1"/>
    <col min="5" max="5" width="9.140625" style="23" customWidth="1"/>
    <col min="6" max="6" width="9.140625" style="20" customWidth="1"/>
    <col min="7" max="7" width="8.7109375" style="20" customWidth="1"/>
    <col min="8" max="9" width="8.7109375" style="21" customWidth="1"/>
    <col min="10" max="11" width="8.7109375" style="22" customWidth="1"/>
    <col min="12" max="13" width="8.7109375" style="9" customWidth="1"/>
    <col min="14" max="26" width="8.7109375" style="10" customWidth="1"/>
    <col min="27" max="16384" width="14.42578125" style="10"/>
  </cols>
  <sheetData>
    <row r="1" spans="1:13" s="24" customFormat="1" ht="15" customHeight="1" x14ac:dyDescent="0.25">
      <c r="E1" s="33" t="s">
        <v>43</v>
      </c>
      <c r="F1" s="33"/>
      <c r="G1" s="33"/>
      <c r="H1" s="33"/>
      <c r="I1" s="33"/>
      <c r="J1" s="33"/>
      <c r="K1" s="33"/>
      <c r="L1" s="33"/>
      <c r="M1" s="33"/>
    </row>
    <row r="2" spans="1:13" s="24" customFormat="1" ht="15" customHeight="1" x14ac:dyDescent="0.25">
      <c r="A2" s="33" t="s">
        <v>35</v>
      </c>
      <c r="B2" s="33"/>
      <c r="C2" s="33"/>
      <c r="D2" s="33"/>
      <c r="F2" s="33" t="s">
        <v>36</v>
      </c>
      <c r="G2" s="33"/>
      <c r="H2" s="33" t="s">
        <v>38</v>
      </c>
      <c r="I2" s="33"/>
      <c r="J2" s="33" t="s">
        <v>39</v>
      </c>
      <c r="K2" s="33"/>
      <c r="L2" s="33" t="s">
        <v>41</v>
      </c>
      <c r="M2" s="33"/>
    </row>
    <row r="3" spans="1:13" s="29" customFormat="1" ht="15" customHeight="1" x14ac:dyDescent="0.25">
      <c r="A3" s="11" t="s">
        <v>0</v>
      </c>
      <c r="B3" s="12" t="s">
        <v>1</v>
      </c>
      <c r="C3" s="12" t="s">
        <v>2</v>
      </c>
      <c r="D3" s="12" t="s">
        <v>3</v>
      </c>
      <c r="E3" s="25" t="s">
        <v>37</v>
      </c>
      <c r="F3" s="26" t="s">
        <v>40</v>
      </c>
      <c r="G3" s="26" t="s">
        <v>3</v>
      </c>
      <c r="H3" s="27" t="s">
        <v>40</v>
      </c>
      <c r="I3" s="27" t="s">
        <v>3</v>
      </c>
      <c r="J3" s="28" t="s">
        <v>40</v>
      </c>
      <c r="K3" s="28" t="s">
        <v>3</v>
      </c>
      <c r="L3" s="24" t="s">
        <v>40</v>
      </c>
      <c r="M3" s="24" t="s">
        <v>3</v>
      </c>
    </row>
    <row r="4" spans="1:13" ht="15" customHeight="1" x14ac:dyDescent="0.2">
      <c r="A4" s="10" t="s">
        <v>4</v>
      </c>
      <c r="B4" s="13">
        <v>1</v>
      </c>
      <c r="C4" s="14">
        <v>12000</v>
      </c>
      <c r="D4" s="14">
        <f t="shared" ref="D4:D19" si="0">B4*C4</f>
        <v>12000</v>
      </c>
    </row>
    <row r="5" spans="1:13" ht="15" customHeight="1" x14ac:dyDescent="0.2">
      <c r="A5" s="10" t="s">
        <v>5</v>
      </c>
      <c r="B5" s="13">
        <v>52</v>
      </c>
      <c r="C5" s="14">
        <v>350</v>
      </c>
      <c r="D5" s="14">
        <f t="shared" si="0"/>
        <v>18200</v>
      </c>
    </row>
    <row r="6" spans="1:13" ht="15" customHeight="1" x14ac:dyDescent="0.2">
      <c r="A6" s="10" t="s">
        <v>6</v>
      </c>
      <c r="B6" s="13">
        <v>2</v>
      </c>
      <c r="C6" s="14">
        <v>2200</v>
      </c>
      <c r="D6" s="14">
        <f t="shared" si="0"/>
        <v>4400</v>
      </c>
    </row>
    <row r="7" spans="1:13" ht="15" customHeight="1" x14ac:dyDescent="0.2">
      <c r="A7" s="10" t="s">
        <v>7</v>
      </c>
      <c r="B7" s="13">
        <v>4</v>
      </c>
      <c r="C7" s="14">
        <v>300</v>
      </c>
      <c r="D7" s="14">
        <f t="shared" si="0"/>
        <v>1200</v>
      </c>
    </row>
    <row r="8" spans="1:13" ht="15" customHeight="1" x14ac:dyDescent="0.2">
      <c r="A8" s="10" t="s">
        <v>8</v>
      </c>
      <c r="B8" s="13">
        <v>2</v>
      </c>
      <c r="C8" s="14">
        <v>1300</v>
      </c>
      <c r="D8" s="14">
        <f t="shared" si="0"/>
        <v>2600</v>
      </c>
    </row>
    <row r="9" spans="1:13" ht="15" customHeight="1" x14ac:dyDescent="0.2">
      <c r="A9" s="10" t="s">
        <v>9</v>
      </c>
      <c r="B9" s="13">
        <v>2</v>
      </c>
      <c r="C9" s="14">
        <v>600</v>
      </c>
      <c r="D9" s="14">
        <f t="shared" si="0"/>
        <v>1200</v>
      </c>
    </row>
    <row r="10" spans="1:13" ht="15" customHeight="1" x14ac:dyDescent="0.2">
      <c r="A10" s="10" t="s">
        <v>10</v>
      </c>
      <c r="B10" s="13">
        <v>1</v>
      </c>
      <c r="C10" s="14">
        <v>400</v>
      </c>
      <c r="D10" s="14">
        <f t="shared" si="0"/>
        <v>400</v>
      </c>
    </row>
    <row r="11" spans="1:13" ht="15" customHeight="1" x14ac:dyDescent="0.2">
      <c r="A11" s="10" t="s">
        <v>11</v>
      </c>
      <c r="B11" s="13">
        <v>1</v>
      </c>
      <c r="C11" s="14">
        <v>800</v>
      </c>
      <c r="D11" s="14">
        <f t="shared" si="0"/>
        <v>800</v>
      </c>
    </row>
    <row r="12" spans="1:13" ht="15" customHeight="1" x14ac:dyDescent="0.2">
      <c r="A12" s="10" t="s">
        <v>12</v>
      </c>
      <c r="B12" s="13">
        <v>1</v>
      </c>
      <c r="C12" s="14">
        <v>600</v>
      </c>
      <c r="D12" s="14">
        <f t="shared" si="0"/>
        <v>600</v>
      </c>
    </row>
    <row r="13" spans="1:13" ht="15" customHeight="1" x14ac:dyDescent="0.2">
      <c r="A13" s="10" t="s">
        <v>13</v>
      </c>
      <c r="B13" s="13">
        <v>3</v>
      </c>
      <c r="C13" s="14">
        <v>400</v>
      </c>
      <c r="D13" s="14">
        <f t="shared" si="0"/>
        <v>1200</v>
      </c>
    </row>
    <row r="14" spans="1:13" ht="15" customHeight="1" x14ac:dyDescent="0.2">
      <c r="A14" s="10" t="s">
        <v>14</v>
      </c>
      <c r="B14" s="13">
        <v>16</v>
      </c>
      <c r="C14" s="14">
        <v>80</v>
      </c>
      <c r="D14" s="14">
        <f t="shared" si="0"/>
        <v>1280</v>
      </c>
    </row>
    <row r="15" spans="1:13" ht="15" customHeight="1" x14ac:dyDescent="0.2">
      <c r="A15" s="10" t="s">
        <v>15</v>
      </c>
      <c r="B15" s="13">
        <v>2</v>
      </c>
      <c r="C15" s="14">
        <v>1400</v>
      </c>
      <c r="D15" s="14">
        <f t="shared" si="0"/>
        <v>2800</v>
      </c>
    </row>
    <row r="16" spans="1:13" ht="15" customHeight="1" x14ac:dyDescent="0.2">
      <c r="A16" s="10" t="s">
        <v>16</v>
      </c>
      <c r="B16" s="13">
        <v>6</v>
      </c>
      <c r="C16" s="14">
        <v>30</v>
      </c>
      <c r="D16" s="14">
        <f t="shared" si="0"/>
        <v>180</v>
      </c>
    </row>
    <row r="17" spans="1:13" ht="15" customHeight="1" x14ac:dyDescent="0.2">
      <c r="A17" s="10" t="s">
        <v>17</v>
      </c>
      <c r="B17" s="13">
        <v>2</v>
      </c>
      <c r="C17" s="14">
        <v>190</v>
      </c>
      <c r="D17" s="14">
        <f t="shared" si="0"/>
        <v>380</v>
      </c>
    </row>
    <row r="18" spans="1:13" ht="15" customHeight="1" x14ac:dyDescent="0.2">
      <c r="A18" s="10" t="s">
        <v>71</v>
      </c>
      <c r="B18" s="13">
        <v>10</v>
      </c>
      <c r="C18" s="14">
        <v>50</v>
      </c>
      <c r="D18" s="14">
        <f t="shared" si="0"/>
        <v>500</v>
      </c>
    </row>
    <row r="19" spans="1:13" ht="15" customHeight="1" x14ac:dyDescent="0.2">
      <c r="A19" s="15" t="s">
        <v>18</v>
      </c>
      <c r="B19" s="13">
        <v>48</v>
      </c>
      <c r="C19" s="14">
        <v>250</v>
      </c>
      <c r="D19" s="14">
        <f t="shared" si="0"/>
        <v>12000</v>
      </c>
    </row>
    <row r="21" spans="1:13" ht="15" customHeight="1" x14ac:dyDescent="0.2">
      <c r="C21" s="16" t="s">
        <v>19</v>
      </c>
      <c r="D21" s="17">
        <f>SUM(D4:D19)</f>
        <v>59740</v>
      </c>
      <c r="E21" s="17">
        <f t="shared" ref="E21:M21" si="1">SUM(E4:E19)</f>
        <v>0</v>
      </c>
      <c r="F21" s="17">
        <f t="shared" si="1"/>
        <v>0</v>
      </c>
      <c r="G21" s="17">
        <f t="shared" si="1"/>
        <v>0</v>
      </c>
      <c r="H21" s="17">
        <f t="shared" si="1"/>
        <v>0</v>
      </c>
      <c r="I21" s="17">
        <f t="shared" si="1"/>
        <v>0</v>
      </c>
      <c r="J21" s="17">
        <f t="shared" si="1"/>
        <v>0</v>
      </c>
      <c r="K21" s="17">
        <f t="shared" si="1"/>
        <v>0</v>
      </c>
      <c r="L21" s="17">
        <f t="shared" si="1"/>
        <v>0</v>
      </c>
      <c r="M21" s="17">
        <f t="shared" si="1"/>
        <v>0</v>
      </c>
    </row>
    <row r="22" spans="1:13" ht="15" customHeight="1" x14ac:dyDescent="0.2">
      <c r="C22" s="16" t="s">
        <v>55</v>
      </c>
      <c r="D22" s="17">
        <f>D21*12%</f>
        <v>7168.8</v>
      </c>
      <c r="E22" s="17">
        <f t="shared" ref="E22:M22" si="2">E21*5%</f>
        <v>0</v>
      </c>
      <c r="F22" s="17">
        <f t="shared" si="2"/>
        <v>0</v>
      </c>
      <c r="G22" s="17">
        <f t="shared" si="2"/>
        <v>0</v>
      </c>
      <c r="H22" s="17">
        <f t="shared" si="2"/>
        <v>0</v>
      </c>
      <c r="I22" s="17">
        <f t="shared" si="2"/>
        <v>0</v>
      </c>
      <c r="J22" s="17">
        <f t="shared" si="2"/>
        <v>0</v>
      </c>
      <c r="K22" s="17">
        <f t="shared" si="2"/>
        <v>0</v>
      </c>
      <c r="L22" s="17">
        <f t="shared" si="2"/>
        <v>0</v>
      </c>
      <c r="M22" s="17">
        <f t="shared" si="2"/>
        <v>0</v>
      </c>
    </row>
    <row r="23" spans="1:13" ht="15" customHeight="1" x14ac:dyDescent="0.2">
      <c r="C23" s="16" t="s">
        <v>21</v>
      </c>
      <c r="D23" s="17">
        <v>0</v>
      </c>
      <c r="E23" s="17">
        <v>0</v>
      </c>
      <c r="F23" s="17">
        <v>0</v>
      </c>
      <c r="G23" s="17">
        <v>0</v>
      </c>
      <c r="H23" s="17">
        <v>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</row>
    <row r="24" spans="1:13" x14ac:dyDescent="0.2">
      <c r="C24" s="16" t="s">
        <v>3</v>
      </c>
      <c r="D24" s="17">
        <f>SUM(D21:D22)-D23</f>
        <v>66908.800000000003</v>
      </c>
      <c r="E24" s="17">
        <f t="shared" ref="E24:M24" si="3">SUM(E21:E22)-E23</f>
        <v>0</v>
      </c>
      <c r="F24" s="17">
        <f t="shared" si="3"/>
        <v>0</v>
      </c>
      <c r="G24" s="17">
        <f t="shared" si="3"/>
        <v>0</v>
      </c>
      <c r="H24" s="17">
        <f t="shared" si="3"/>
        <v>0</v>
      </c>
      <c r="I24" s="17">
        <f t="shared" si="3"/>
        <v>0</v>
      </c>
      <c r="J24" s="17">
        <f t="shared" si="3"/>
        <v>0</v>
      </c>
      <c r="K24" s="17">
        <f t="shared" si="3"/>
        <v>0</v>
      </c>
      <c r="L24" s="17">
        <f t="shared" si="3"/>
        <v>0</v>
      </c>
      <c r="M24" s="17">
        <f t="shared" si="3"/>
        <v>0</v>
      </c>
    </row>
    <row r="25" spans="1:13" s="24" customFormat="1" x14ac:dyDescent="0.25">
      <c r="A25" s="8" t="s">
        <v>42</v>
      </c>
    </row>
    <row r="26" spans="1:13" ht="15.75" customHeight="1" x14ac:dyDescent="0.2">
      <c r="A26" s="18" t="s">
        <v>0</v>
      </c>
      <c r="B26" s="19" t="s">
        <v>1</v>
      </c>
      <c r="C26" s="19" t="s">
        <v>2</v>
      </c>
      <c r="D26" s="19" t="s">
        <v>3</v>
      </c>
    </row>
    <row r="27" spans="1:13" ht="15.75" customHeight="1" x14ac:dyDescent="0.2">
      <c r="A27" s="15" t="s">
        <v>18</v>
      </c>
      <c r="B27" s="13">
        <v>1</v>
      </c>
      <c r="C27" s="14">
        <v>300</v>
      </c>
      <c r="D27" s="14">
        <f t="shared" ref="D27:D47" si="4">B27*C27</f>
        <v>300</v>
      </c>
    </row>
    <row r="28" spans="1:13" ht="15.75" customHeight="1" x14ac:dyDescent="0.2">
      <c r="A28" s="10" t="s">
        <v>4</v>
      </c>
      <c r="B28" s="13">
        <v>1</v>
      </c>
      <c r="C28" s="14"/>
      <c r="D28" s="14"/>
    </row>
    <row r="29" spans="1:13" ht="15.75" customHeight="1" x14ac:dyDescent="0.2">
      <c r="A29" s="10" t="s">
        <v>44</v>
      </c>
      <c r="B29" s="13">
        <v>1</v>
      </c>
      <c r="C29" s="14">
        <v>460</v>
      </c>
      <c r="D29" s="14">
        <f t="shared" si="4"/>
        <v>460</v>
      </c>
    </row>
    <row r="30" spans="1:13" ht="15.75" customHeight="1" x14ac:dyDescent="0.2">
      <c r="A30" s="15" t="s">
        <v>46</v>
      </c>
      <c r="B30" s="13">
        <v>1</v>
      </c>
      <c r="C30" s="14">
        <v>3000</v>
      </c>
      <c r="D30" s="14">
        <f t="shared" si="4"/>
        <v>3000</v>
      </c>
    </row>
    <row r="31" spans="1:13" ht="15.75" customHeight="1" x14ac:dyDescent="0.2">
      <c r="A31" s="10" t="s">
        <v>5</v>
      </c>
      <c r="B31" s="13">
        <v>1</v>
      </c>
      <c r="C31" s="14">
        <v>250</v>
      </c>
      <c r="D31" s="14">
        <f t="shared" si="4"/>
        <v>250</v>
      </c>
    </row>
    <row r="32" spans="1:13" ht="15.75" customHeight="1" x14ac:dyDescent="0.2">
      <c r="A32" s="10" t="s">
        <v>45</v>
      </c>
      <c r="B32" s="13">
        <v>1</v>
      </c>
      <c r="C32" s="14"/>
      <c r="D32" s="14"/>
    </row>
    <row r="33" spans="1:4" ht="15.75" customHeight="1" x14ac:dyDescent="0.2">
      <c r="A33" s="10" t="s">
        <v>47</v>
      </c>
      <c r="B33" s="13">
        <v>1</v>
      </c>
      <c r="C33" s="14"/>
      <c r="D33" s="14"/>
    </row>
    <row r="34" spans="1:4" ht="15.75" customHeight="1" x14ac:dyDescent="0.2">
      <c r="A34" s="10" t="s">
        <v>50</v>
      </c>
      <c r="B34" s="13">
        <v>1</v>
      </c>
      <c r="C34" s="14"/>
      <c r="D34" s="14"/>
    </row>
    <row r="35" spans="1:4" ht="15.75" customHeight="1" x14ac:dyDescent="0.2">
      <c r="A35" s="10" t="s">
        <v>48</v>
      </c>
      <c r="B35" s="13">
        <v>1</v>
      </c>
      <c r="C35" s="14"/>
      <c r="D35" s="14"/>
    </row>
    <row r="36" spans="1:4" ht="15.75" customHeight="1" x14ac:dyDescent="0.2">
      <c r="A36" s="10" t="s">
        <v>49</v>
      </c>
      <c r="B36" s="13">
        <v>1</v>
      </c>
      <c r="C36" s="14"/>
      <c r="D36" s="14"/>
    </row>
    <row r="37" spans="1:4" ht="15.75" customHeight="1" x14ac:dyDescent="0.2">
      <c r="A37" s="10" t="s">
        <v>7</v>
      </c>
      <c r="B37" s="13">
        <v>1</v>
      </c>
      <c r="C37" s="14">
        <v>1300</v>
      </c>
      <c r="D37" s="14">
        <f t="shared" si="4"/>
        <v>1300</v>
      </c>
    </row>
    <row r="38" spans="1:4" ht="15.75" customHeight="1" x14ac:dyDescent="0.2">
      <c r="A38" s="10" t="s">
        <v>8</v>
      </c>
      <c r="B38" s="13">
        <v>1</v>
      </c>
      <c r="C38" s="14">
        <v>850</v>
      </c>
      <c r="D38" s="14">
        <f t="shared" si="4"/>
        <v>850</v>
      </c>
    </row>
    <row r="39" spans="1:4" ht="15.75" customHeight="1" x14ac:dyDescent="0.2">
      <c r="A39" s="10" t="s">
        <v>9</v>
      </c>
      <c r="B39" s="13">
        <v>1</v>
      </c>
      <c r="C39" s="14">
        <v>600</v>
      </c>
      <c r="D39" s="14">
        <f t="shared" si="4"/>
        <v>600</v>
      </c>
    </row>
    <row r="40" spans="1:4" ht="15.75" customHeight="1" x14ac:dyDescent="0.2">
      <c r="A40" s="10" t="s">
        <v>10</v>
      </c>
      <c r="B40" s="13">
        <v>1</v>
      </c>
      <c r="C40" s="14">
        <v>600</v>
      </c>
      <c r="D40" s="14">
        <f t="shared" si="4"/>
        <v>600</v>
      </c>
    </row>
    <row r="41" spans="1:4" ht="15.75" customHeight="1" x14ac:dyDescent="0.2">
      <c r="A41" s="10" t="s">
        <v>11</v>
      </c>
      <c r="B41" s="13">
        <v>1</v>
      </c>
      <c r="C41" s="14">
        <v>850</v>
      </c>
      <c r="D41" s="14">
        <f t="shared" si="4"/>
        <v>850</v>
      </c>
    </row>
    <row r="42" spans="1:4" ht="15.75" customHeight="1" x14ac:dyDescent="0.2">
      <c r="A42" s="10" t="s">
        <v>12</v>
      </c>
      <c r="B42" s="13">
        <v>1</v>
      </c>
      <c r="C42" s="14">
        <v>400</v>
      </c>
      <c r="D42" s="14">
        <f t="shared" si="4"/>
        <v>400</v>
      </c>
    </row>
    <row r="43" spans="1:4" ht="15.75" customHeight="1" x14ac:dyDescent="0.2">
      <c r="A43" s="10" t="s">
        <v>13</v>
      </c>
      <c r="B43" s="13">
        <v>1</v>
      </c>
      <c r="C43" s="14">
        <v>150</v>
      </c>
      <c r="D43" s="14">
        <f t="shared" si="4"/>
        <v>150</v>
      </c>
    </row>
    <row r="44" spans="1:4" ht="15.75" customHeight="1" x14ac:dyDescent="0.2">
      <c r="A44" s="10" t="s">
        <v>14</v>
      </c>
      <c r="B44" s="13">
        <v>1</v>
      </c>
      <c r="C44" s="14">
        <v>2000</v>
      </c>
      <c r="D44" s="14">
        <f t="shared" si="4"/>
        <v>2000</v>
      </c>
    </row>
    <row r="45" spans="1:4" ht="15.75" customHeight="1" x14ac:dyDescent="0.2">
      <c r="A45" s="10" t="s">
        <v>15</v>
      </c>
      <c r="B45" s="13">
        <v>1</v>
      </c>
      <c r="C45" s="14">
        <v>30</v>
      </c>
      <c r="D45" s="14">
        <f t="shared" si="4"/>
        <v>30</v>
      </c>
    </row>
    <row r="46" spans="1:4" ht="15.75" customHeight="1" x14ac:dyDescent="0.2">
      <c r="A46" s="10" t="s">
        <v>16</v>
      </c>
      <c r="B46" s="13">
        <v>1</v>
      </c>
      <c r="C46" s="14">
        <v>190</v>
      </c>
      <c r="D46" s="14">
        <f t="shared" si="4"/>
        <v>190</v>
      </c>
    </row>
    <row r="47" spans="1:4" ht="15.75" customHeight="1" x14ac:dyDescent="0.2">
      <c r="A47" s="10" t="s">
        <v>17</v>
      </c>
      <c r="B47" s="13">
        <v>1</v>
      </c>
      <c r="C47" s="14">
        <v>300</v>
      </c>
      <c r="D47" s="14">
        <f t="shared" si="4"/>
        <v>300</v>
      </c>
    </row>
    <row r="48" spans="1:4" ht="15.75" customHeight="1" x14ac:dyDescent="0.2"/>
    <row r="49" spans="3:4" ht="15.75" customHeight="1" x14ac:dyDescent="0.2">
      <c r="C49" s="16"/>
      <c r="D49" s="17"/>
    </row>
    <row r="50" spans="3:4" ht="15.75" customHeight="1" x14ac:dyDescent="0.2">
      <c r="C50" s="16"/>
      <c r="D50" s="17"/>
    </row>
    <row r="51" spans="3:4" ht="15.75" customHeight="1" x14ac:dyDescent="0.2">
      <c r="C51" s="16"/>
      <c r="D51" s="17"/>
    </row>
    <row r="52" spans="3:4" ht="15.75" customHeight="1" x14ac:dyDescent="0.2">
      <c r="C52" s="16"/>
      <c r="D52" s="17"/>
    </row>
    <row r="53" spans="3:4" ht="15.75" customHeight="1" x14ac:dyDescent="0.2"/>
    <row r="54" spans="3:4" ht="15.75" customHeight="1" x14ac:dyDescent="0.2"/>
    <row r="55" spans="3:4" ht="15.75" customHeight="1" x14ac:dyDescent="0.2"/>
    <row r="56" spans="3:4" ht="15.75" customHeight="1" x14ac:dyDescent="0.2"/>
    <row r="57" spans="3:4" ht="15.75" customHeight="1" x14ac:dyDescent="0.2"/>
    <row r="58" spans="3:4" ht="15.75" customHeight="1" x14ac:dyDescent="0.2"/>
    <row r="59" spans="3:4" ht="15.75" customHeight="1" x14ac:dyDescent="0.2"/>
    <row r="60" spans="3:4" ht="15.75" customHeight="1" x14ac:dyDescent="0.2"/>
    <row r="61" spans="3:4" ht="15.75" customHeight="1" x14ac:dyDescent="0.2"/>
    <row r="62" spans="3:4" ht="15.75" customHeight="1" x14ac:dyDescent="0.2"/>
    <row r="63" spans="3:4" ht="15.75" customHeight="1" x14ac:dyDescent="0.2"/>
    <row r="64" spans="3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</sheetData>
  <mergeCells count="6">
    <mergeCell ref="E1:M1"/>
    <mergeCell ref="A2:D2"/>
    <mergeCell ref="F2:G2"/>
    <mergeCell ref="H2:I2"/>
    <mergeCell ref="J2:K2"/>
    <mergeCell ref="L2:M2"/>
  </mergeCells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61AA-FAC8-429B-9F50-DD617FE52470}">
  <dimension ref="A1:N1039"/>
  <sheetViews>
    <sheetView topLeftCell="B2" zoomScaleNormal="100" workbookViewId="0">
      <selection activeCell="C17" sqref="C17"/>
    </sheetView>
  </sheetViews>
  <sheetFormatPr defaultColWidth="14.42578125" defaultRowHeight="14.25" x14ac:dyDescent="0.2"/>
  <cols>
    <col min="1" max="1" width="3.28515625" style="10" bestFit="1" customWidth="1"/>
    <col min="2" max="2" width="133.42578125" style="10" bestFit="1" customWidth="1"/>
    <col min="3" max="3" width="5.7109375" style="10" customWidth="1"/>
    <col min="4" max="5" width="12.85546875" style="10" customWidth="1"/>
    <col min="6" max="6" width="9.140625" style="23" customWidth="1"/>
    <col min="7" max="7" width="9.140625" style="20" customWidth="1"/>
    <col min="8" max="8" width="8.7109375" style="20" customWidth="1"/>
    <col min="9" max="10" width="8.7109375" style="21" customWidth="1"/>
    <col min="11" max="12" width="8.7109375" style="22" customWidth="1"/>
    <col min="13" max="14" width="8.7109375" style="9" customWidth="1"/>
    <col min="15" max="27" width="8.7109375" style="10" customWidth="1"/>
    <col min="28" max="16384" width="14.42578125" style="10"/>
  </cols>
  <sheetData>
    <row r="1" spans="1:14" s="24" customFormat="1" ht="15" customHeight="1" x14ac:dyDescent="0.25">
      <c r="A1" s="33"/>
      <c r="B1" s="33"/>
      <c r="C1" s="33"/>
      <c r="D1" s="33"/>
      <c r="E1" s="33"/>
      <c r="F1" s="33" t="s">
        <v>43</v>
      </c>
      <c r="G1" s="33"/>
      <c r="H1" s="33"/>
      <c r="I1" s="33"/>
      <c r="J1" s="33"/>
      <c r="K1" s="33"/>
      <c r="L1" s="33"/>
      <c r="M1" s="33"/>
      <c r="N1" s="33"/>
    </row>
    <row r="2" spans="1:14" s="24" customFormat="1" ht="15" customHeight="1" x14ac:dyDescent="0.25">
      <c r="B2" s="33" t="s">
        <v>35</v>
      </c>
      <c r="C2" s="33"/>
      <c r="D2" s="33"/>
      <c r="E2" s="33"/>
      <c r="G2" s="33" t="s">
        <v>36</v>
      </c>
      <c r="H2" s="33"/>
      <c r="I2" s="33" t="s">
        <v>38</v>
      </c>
      <c r="J2" s="33"/>
      <c r="K2" s="33" t="s">
        <v>39</v>
      </c>
      <c r="L2" s="33"/>
      <c r="M2" s="33" t="s">
        <v>41</v>
      </c>
      <c r="N2" s="33"/>
    </row>
    <row r="3" spans="1:14" s="29" customFormat="1" ht="15" customHeight="1" x14ac:dyDescent="0.25">
      <c r="B3" s="11" t="s">
        <v>0</v>
      </c>
      <c r="C3" s="12" t="s">
        <v>1</v>
      </c>
      <c r="D3" s="12" t="s">
        <v>2</v>
      </c>
      <c r="E3" s="12" t="s">
        <v>3</v>
      </c>
      <c r="F3" s="25" t="s">
        <v>37</v>
      </c>
      <c r="G3" s="26" t="s">
        <v>40</v>
      </c>
      <c r="H3" s="26" t="s">
        <v>3</v>
      </c>
      <c r="I3" s="27" t="s">
        <v>40</v>
      </c>
      <c r="J3" s="27" t="s">
        <v>3</v>
      </c>
      <c r="K3" s="28" t="s">
        <v>40</v>
      </c>
      <c r="L3" s="28" t="s">
        <v>3</v>
      </c>
      <c r="M3" s="24" t="s">
        <v>40</v>
      </c>
      <c r="N3" s="24" t="s">
        <v>3</v>
      </c>
    </row>
    <row r="4" spans="1:14" ht="15" customHeight="1" x14ac:dyDescent="0.2">
      <c r="A4" s="10">
        <v>1</v>
      </c>
      <c r="B4" s="10" t="s">
        <v>84</v>
      </c>
      <c r="C4" s="13">
        <v>12</v>
      </c>
      <c r="D4" s="14">
        <v>2300</v>
      </c>
      <c r="E4" s="14">
        <f t="shared" ref="E4:E17" si="0">C4*D4</f>
        <v>27600</v>
      </c>
    </row>
    <row r="5" spans="1:14" ht="15" customHeight="1" x14ac:dyDescent="0.2">
      <c r="A5" s="10">
        <v>2</v>
      </c>
      <c r="B5" s="10" t="s">
        <v>92</v>
      </c>
      <c r="C5" s="13">
        <v>1</v>
      </c>
      <c r="D5" s="14">
        <v>0</v>
      </c>
      <c r="E5" s="14">
        <f t="shared" si="0"/>
        <v>0</v>
      </c>
    </row>
    <row r="6" spans="1:14" ht="15" customHeight="1" x14ac:dyDescent="0.2">
      <c r="A6" s="10">
        <v>3</v>
      </c>
      <c r="B6" s="10" t="s">
        <v>25</v>
      </c>
      <c r="C6" s="13">
        <v>12</v>
      </c>
      <c r="D6" s="14">
        <v>260</v>
      </c>
      <c r="E6" s="14">
        <f t="shared" si="0"/>
        <v>3120</v>
      </c>
    </row>
    <row r="7" spans="1:14" ht="15" customHeight="1" x14ac:dyDescent="0.2">
      <c r="A7" s="10">
        <v>4</v>
      </c>
      <c r="B7" s="10" t="s">
        <v>26</v>
      </c>
      <c r="C7" s="13">
        <v>2</v>
      </c>
      <c r="D7" s="14">
        <v>25</v>
      </c>
      <c r="E7" s="14">
        <f t="shared" si="0"/>
        <v>50</v>
      </c>
    </row>
    <row r="8" spans="1:14" ht="15" customHeight="1" x14ac:dyDescent="0.2">
      <c r="A8" s="10">
        <v>5</v>
      </c>
      <c r="B8" s="10" t="s">
        <v>73</v>
      </c>
      <c r="C8" s="13">
        <v>1</v>
      </c>
      <c r="D8" s="14">
        <v>1300</v>
      </c>
      <c r="E8" s="14">
        <f t="shared" si="0"/>
        <v>1300</v>
      </c>
    </row>
    <row r="9" spans="1:14" ht="15" customHeight="1" x14ac:dyDescent="0.2">
      <c r="A9" s="10">
        <v>6</v>
      </c>
      <c r="B9" s="10" t="s">
        <v>65</v>
      </c>
      <c r="C9" s="13">
        <v>0</v>
      </c>
      <c r="D9" s="14">
        <v>100</v>
      </c>
      <c r="E9" s="14">
        <f t="shared" si="0"/>
        <v>0</v>
      </c>
    </row>
    <row r="10" spans="1:14" ht="15" customHeight="1" x14ac:dyDescent="0.2">
      <c r="A10" s="10">
        <v>7</v>
      </c>
      <c r="B10" s="10" t="s">
        <v>28</v>
      </c>
      <c r="C10" s="13">
        <v>0</v>
      </c>
      <c r="D10" s="14">
        <v>50</v>
      </c>
      <c r="E10" s="14">
        <f t="shared" si="0"/>
        <v>0</v>
      </c>
    </row>
    <row r="11" spans="1:14" ht="15" customHeight="1" x14ac:dyDescent="0.2">
      <c r="A11" s="10">
        <v>8</v>
      </c>
      <c r="B11" s="10" t="s">
        <v>74</v>
      </c>
      <c r="C11" s="13">
        <v>1</v>
      </c>
      <c r="D11" s="14">
        <v>7000</v>
      </c>
      <c r="E11" s="14">
        <f t="shared" si="0"/>
        <v>7000</v>
      </c>
    </row>
    <row r="12" spans="1:14" ht="15" customHeight="1" x14ac:dyDescent="0.2">
      <c r="A12" s="10">
        <v>9</v>
      </c>
      <c r="B12" s="10" t="s">
        <v>93</v>
      </c>
      <c r="C12" s="13">
        <v>1</v>
      </c>
      <c r="D12" s="14">
        <v>5500</v>
      </c>
      <c r="E12" s="14">
        <f t="shared" si="0"/>
        <v>5500</v>
      </c>
    </row>
    <row r="13" spans="1:14" ht="15" customHeight="1" x14ac:dyDescent="0.2">
      <c r="A13" s="10">
        <v>10</v>
      </c>
      <c r="B13" s="10" t="s">
        <v>51</v>
      </c>
      <c r="C13" s="13">
        <v>0</v>
      </c>
      <c r="D13" s="14">
        <v>120</v>
      </c>
      <c r="E13" s="14">
        <f t="shared" si="0"/>
        <v>0</v>
      </c>
    </row>
    <row r="14" spans="1:14" ht="15" customHeight="1" x14ac:dyDescent="0.2">
      <c r="A14" s="10">
        <v>11</v>
      </c>
      <c r="B14" s="10" t="s">
        <v>66</v>
      </c>
      <c r="C14" s="13">
        <v>12</v>
      </c>
      <c r="D14" s="14">
        <v>100</v>
      </c>
      <c r="E14" s="14">
        <f t="shared" si="0"/>
        <v>1200</v>
      </c>
    </row>
    <row r="15" spans="1:14" ht="15" customHeight="1" x14ac:dyDescent="0.2">
      <c r="A15" s="10">
        <v>12</v>
      </c>
      <c r="B15" s="10" t="s">
        <v>71</v>
      </c>
      <c r="C15" s="13">
        <v>0</v>
      </c>
      <c r="D15" s="14">
        <v>50</v>
      </c>
      <c r="E15" s="14">
        <f t="shared" si="0"/>
        <v>0</v>
      </c>
    </row>
    <row r="16" spans="1:14" ht="15" customHeight="1" x14ac:dyDescent="0.2">
      <c r="A16" s="10">
        <v>13</v>
      </c>
      <c r="B16" s="10" t="s">
        <v>91</v>
      </c>
      <c r="C16" s="13">
        <v>0</v>
      </c>
      <c r="D16" s="14">
        <v>500</v>
      </c>
      <c r="E16" s="14">
        <f t="shared" si="0"/>
        <v>0</v>
      </c>
    </row>
    <row r="17" spans="1:13" ht="15" customHeight="1" x14ac:dyDescent="0.2">
      <c r="A17" s="10">
        <v>0</v>
      </c>
      <c r="B17" s="10" t="s">
        <v>56</v>
      </c>
      <c r="C17" s="13">
        <v>12</v>
      </c>
      <c r="D17" s="14">
        <v>1000</v>
      </c>
      <c r="E17" s="14">
        <f t="shared" si="0"/>
        <v>12000</v>
      </c>
    </row>
    <row r="18" spans="1:13" ht="15" customHeight="1" x14ac:dyDescent="0.2"/>
    <row r="19" spans="1:13" ht="15" customHeight="1" x14ac:dyDescent="0.2">
      <c r="D19" s="18" t="s">
        <v>19</v>
      </c>
      <c r="E19" s="14">
        <f>SUM(E4:E17)</f>
        <v>57770</v>
      </c>
    </row>
    <row r="20" spans="1:13" ht="15" customHeight="1" x14ac:dyDescent="0.2">
      <c r="D20" s="18" t="s">
        <v>55</v>
      </c>
      <c r="E20" s="14">
        <f>E19*12%</f>
        <v>6932.4</v>
      </c>
    </row>
    <row r="21" spans="1:13" ht="15" customHeight="1" x14ac:dyDescent="0.2">
      <c r="D21" s="18" t="s">
        <v>21</v>
      </c>
      <c r="E21" s="14">
        <v>0</v>
      </c>
    </row>
    <row r="22" spans="1:13" ht="15" customHeight="1" x14ac:dyDescent="0.2">
      <c r="D22" s="18" t="s">
        <v>3</v>
      </c>
      <c r="E22" s="14">
        <f>SUM(E19:E20)-E21</f>
        <v>64702.400000000001</v>
      </c>
    </row>
    <row r="23" spans="1:13" s="24" customFormat="1" ht="15" x14ac:dyDescent="0.25">
      <c r="B23" s="8" t="s">
        <v>42</v>
      </c>
    </row>
    <row r="24" spans="1:13" ht="15.75" customHeight="1" x14ac:dyDescent="0.2">
      <c r="B24" s="18" t="s">
        <v>0</v>
      </c>
      <c r="C24" s="19" t="s">
        <v>1</v>
      </c>
      <c r="D24" s="19" t="s">
        <v>2</v>
      </c>
      <c r="E24" s="19" t="s">
        <v>3</v>
      </c>
    </row>
    <row r="25" spans="1:13" ht="15.75" customHeight="1" x14ac:dyDescent="0.2">
      <c r="A25" s="10">
        <v>0</v>
      </c>
      <c r="B25" s="15" t="s">
        <v>18</v>
      </c>
      <c r="C25" s="13">
        <v>1</v>
      </c>
      <c r="D25" s="14">
        <v>300</v>
      </c>
      <c r="E25" s="14">
        <f t="shared" ref="E25:E56" si="1">C25*D25</f>
        <v>300</v>
      </c>
      <c r="M25" s="9">
        <v>300</v>
      </c>
    </row>
    <row r="26" spans="1:13" ht="15.75" customHeight="1" x14ac:dyDescent="0.2">
      <c r="A26" s="10">
        <v>1</v>
      </c>
      <c r="B26" s="10" t="s">
        <v>84</v>
      </c>
      <c r="C26" s="13">
        <v>1</v>
      </c>
      <c r="D26" s="14">
        <v>2200</v>
      </c>
      <c r="E26" s="14">
        <f t="shared" si="1"/>
        <v>2200</v>
      </c>
      <c r="G26" s="20">
        <v>2150</v>
      </c>
      <c r="K26" s="22">
        <v>2100</v>
      </c>
      <c r="M26" s="9">
        <v>2200</v>
      </c>
    </row>
    <row r="27" spans="1:13" ht="15.75" customHeight="1" x14ac:dyDescent="0.2">
      <c r="A27" s="10">
        <v>1</v>
      </c>
      <c r="B27" s="10" t="s">
        <v>83</v>
      </c>
      <c r="C27" s="13">
        <v>1</v>
      </c>
      <c r="D27" s="14">
        <v>3400</v>
      </c>
      <c r="E27" s="14">
        <f t="shared" si="1"/>
        <v>3400</v>
      </c>
      <c r="G27" s="20">
        <v>3039</v>
      </c>
    </row>
    <row r="28" spans="1:13" ht="15.75" customHeight="1" x14ac:dyDescent="0.2">
      <c r="A28" s="10">
        <v>1</v>
      </c>
      <c r="B28" s="10" t="s">
        <v>57</v>
      </c>
      <c r="C28" s="13">
        <v>1</v>
      </c>
      <c r="D28" s="14">
        <v>1700</v>
      </c>
      <c r="E28" s="14">
        <f t="shared" si="1"/>
        <v>1700</v>
      </c>
      <c r="I28" s="21">
        <v>1600</v>
      </c>
      <c r="M28" s="9">
        <v>1700</v>
      </c>
    </row>
    <row r="29" spans="1:13" ht="15.75" customHeight="1" x14ac:dyDescent="0.2">
      <c r="A29" s="10">
        <v>2</v>
      </c>
      <c r="B29" s="10" t="s">
        <v>58</v>
      </c>
      <c r="C29" s="13">
        <v>1</v>
      </c>
      <c r="D29" s="14">
        <v>4000</v>
      </c>
      <c r="E29" s="14">
        <f t="shared" si="1"/>
        <v>4000</v>
      </c>
      <c r="G29" s="20">
        <v>3850</v>
      </c>
      <c r="K29" s="22">
        <v>3850</v>
      </c>
      <c r="M29" s="9">
        <v>3850</v>
      </c>
    </row>
    <row r="30" spans="1:13" ht="15.75" customHeight="1" x14ac:dyDescent="0.2">
      <c r="A30" s="10">
        <v>2</v>
      </c>
      <c r="B30" s="10" t="s">
        <v>60</v>
      </c>
      <c r="C30" s="13">
        <v>1</v>
      </c>
      <c r="D30" s="14">
        <v>4850</v>
      </c>
      <c r="E30" s="14">
        <f t="shared" si="1"/>
        <v>4850</v>
      </c>
      <c r="G30" s="20">
        <v>4397</v>
      </c>
      <c r="K30" s="22">
        <v>4850</v>
      </c>
      <c r="M30" s="9">
        <v>4850</v>
      </c>
    </row>
    <row r="31" spans="1:13" ht="15.75" customHeight="1" x14ac:dyDescent="0.2">
      <c r="A31" s="10">
        <v>2</v>
      </c>
      <c r="B31" s="10" t="s">
        <v>92</v>
      </c>
      <c r="C31" s="13">
        <v>1</v>
      </c>
      <c r="D31" s="14">
        <v>0</v>
      </c>
      <c r="E31" s="14">
        <f t="shared" ref="E31" si="2">C31*D31</f>
        <v>0</v>
      </c>
      <c r="G31" s="20">
        <v>0</v>
      </c>
      <c r="K31" s="22">
        <v>4850</v>
      </c>
      <c r="M31" s="9">
        <v>4850</v>
      </c>
    </row>
    <row r="32" spans="1:13" ht="15.75" customHeight="1" x14ac:dyDescent="0.2">
      <c r="A32" s="10">
        <v>2</v>
      </c>
      <c r="B32" s="10" t="s">
        <v>59</v>
      </c>
      <c r="C32" s="13">
        <v>1</v>
      </c>
      <c r="D32" s="14">
        <v>3000</v>
      </c>
      <c r="E32" s="14">
        <f t="shared" si="1"/>
        <v>3000</v>
      </c>
      <c r="I32" s="21">
        <v>2850</v>
      </c>
      <c r="M32" s="9">
        <v>3000</v>
      </c>
    </row>
    <row r="33" spans="1:13" ht="15.75" customHeight="1" x14ac:dyDescent="0.2">
      <c r="A33" s="10">
        <v>2</v>
      </c>
      <c r="B33" s="10" t="s">
        <v>61</v>
      </c>
      <c r="C33" s="13">
        <v>1</v>
      </c>
      <c r="D33" s="14">
        <v>4000</v>
      </c>
      <c r="E33" s="14">
        <f t="shared" si="1"/>
        <v>4000</v>
      </c>
      <c r="I33" s="21">
        <v>3800</v>
      </c>
      <c r="M33" s="9">
        <v>4000</v>
      </c>
    </row>
    <row r="34" spans="1:13" ht="15.75" customHeight="1" x14ac:dyDescent="0.2">
      <c r="A34" s="10">
        <v>3</v>
      </c>
      <c r="B34" s="10" t="s">
        <v>25</v>
      </c>
      <c r="C34" s="13">
        <v>1</v>
      </c>
      <c r="D34" s="14">
        <v>3000</v>
      </c>
      <c r="E34" s="14">
        <f t="shared" si="1"/>
        <v>3000</v>
      </c>
      <c r="G34" s="20">
        <v>200</v>
      </c>
      <c r="I34" s="21">
        <v>217</v>
      </c>
      <c r="K34" s="22">
        <v>250</v>
      </c>
      <c r="M34" s="9">
        <v>260</v>
      </c>
    </row>
    <row r="35" spans="1:13" ht="15.75" customHeight="1" x14ac:dyDescent="0.2">
      <c r="A35" s="10">
        <v>4</v>
      </c>
      <c r="B35" s="10" t="s">
        <v>26</v>
      </c>
      <c r="C35" s="13">
        <v>1</v>
      </c>
      <c r="D35" s="14">
        <v>250</v>
      </c>
      <c r="E35" s="14">
        <f t="shared" si="1"/>
        <v>250</v>
      </c>
    </row>
    <row r="36" spans="1:13" ht="15.75" customHeight="1" x14ac:dyDescent="0.2">
      <c r="A36" s="10">
        <v>5</v>
      </c>
      <c r="B36" s="10" t="s">
        <v>62</v>
      </c>
      <c r="C36" s="13">
        <v>1</v>
      </c>
      <c r="D36" s="14">
        <v>900</v>
      </c>
      <c r="E36" s="14">
        <f t="shared" si="1"/>
        <v>900</v>
      </c>
    </row>
    <row r="37" spans="1:13" ht="15.75" customHeight="1" x14ac:dyDescent="0.2">
      <c r="A37" s="10">
        <v>5</v>
      </c>
      <c r="B37" s="10" t="s">
        <v>63</v>
      </c>
      <c r="C37" s="13">
        <v>1</v>
      </c>
      <c r="D37" s="14">
        <v>1200</v>
      </c>
      <c r="E37" s="14">
        <f t="shared" si="1"/>
        <v>1200</v>
      </c>
    </row>
    <row r="38" spans="1:13" ht="15" customHeight="1" x14ac:dyDescent="0.2">
      <c r="A38" s="10">
        <v>5</v>
      </c>
      <c r="B38" s="10" t="s">
        <v>27</v>
      </c>
      <c r="C38" s="13">
        <v>1</v>
      </c>
      <c r="D38" s="14">
        <v>700</v>
      </c>
      <c r="E38" s="14">
        <f t="shared" si="1"/>
        <v>700</v>
      </c>
    </row>
    <row r="39" spans="1:13" ht="15.75" customHeight="1" x14ac:dyDescent="0.2">
      <c r="A39" s="10">
        <v>6</v>
      </c>
      <c r="B39" s="10" t="s">
        <v>22</v>
      </c>
      <c r="C39" s="13">
        <v>1</v>
      </c>
      <c r="D39" s="14">
        <v>150</v>
      </c>
      <c r="E39" s="14">
        <f t="shared" si="1"/>
        <v>150</v>
      </c>
    </row>
    <row r="40" spans="1:13" ht="15.75" customHeight="1" x14ac:dyDescent="0.2">
      <c r="A40" s="10">
        <v>7</v>
      </c>
      <c r="B40" s="10" t="s">
        <v>28</v>
      </c>
      <c r="C40" s="13">
        <v>1</v>
      </c>
      <c r="D40" s="14">
        <v>100</v>
      </c>
      <c r="E40" s="14">
        <f t="shared" si="1"/>
        <v>100</v>
      </c>
    </row>
    <row r="41" spans="1:13" ht="15.75" customHeight="1" x14ac:dyDescent="0.2">
      <c r="A41" s="10">
        <v>8</v>
      </c>
      <c r="B41" s="10" t="s">
        <v>29</v>
      </c>
      <c r="C41" s="13">
        <v>1</v>
      </c>
      <c r="D41" s="14">
        <v>4000</v>
      </c>
      <c r="E41" s="14">
        <f t="shared" si="1"/>
        <v>4000</v>
      </c>
    </row>
    <row r="42" spans="1:13" ht="15.75" customHeight="1" x14ac:dyDescent="0.2">
      <c r="A42" s="10">
        <v>9</v>
      </c>
      <c r="B42" s="10" t="s">
        <v>64</v>
      </c>
      <c r="C42" s="13">
        <v>1</v>
      </c>
      <c r="D42" s="14">
        <v>150</v>
      </c>
      <c r="E42" s="14">
        <f t="shared" si="1"/>
        <v>150</v>
      </c>
      <c r="K42" s="22">
        <v>100</v>
      </c>
      <c r="M42" s="9">
        <v>150</v>
      </c>
    </row>
    <row r="43" spans="1:13" ht="15.75" customHeight="1" x14ac:dyDescent="0.2">
      <c r="A43" s="10">
        <v>9</v>
      </c>
      <c r="B43" s="10" t="s">
        <v>52</v>
      </c>
      <c r="C43" s="13">
        <v>1</v>
      </c>
      <c r="D43" s="14">
        <v>30</v>
      </c>
      <c r="E43" s="14">
        <f t="shared" si="1"/>
        <v>30</v>
      </c>
      <c r="M43" s="9">
        <v>30</v>
      </c>
    </row>
    <row r="44" spans="1:13" ht="15.75" customHeight="1" x14ac:dyDescent="0.2">
      <c r="A44" s="10">
        <v>9</v>
      </c>
      <c r="B44" s="10" t="s">
        <v>53</v>
      </c>
      <c r="C44" s="13">
        <v>1</v>
      </c>
      <c r="D44" s="14">
        <v>2000</v>
      </c>
      <c r="E44" s="14">
        <f t="shared" si="1"/>
        <v>2000</v>
      </c>
      <c r="I44" s="21">
        <v>1400</v>
      </c>
      <c r="K44" s="22">
        <v>2900</v>
      </c>
      <c r="M44" s="9">
        <v>3000</v>
      </c>
    </row>
    <row r="45" spans="1:13" ht="15.75" customHeight="1" x14ac:dyDescent="0.2">
      <c r="A45" s="10">
        <v>9</v>
      </c>
      <c r="B45" s="10" t="s">
        <v>54</v>
      </c>
      <c r="C45" s="13">
        <v>1</v>
      </c>
      <c r="D45" s="14">
        <v>6500</v>
      </c>
      <c r="E45" s="14">
        <f t="shared" si="1"/>
        <v>6500</v>
      </c>
      <c r="M45" s="9">
        <v>6000</v>
      </c>
    </row>
    <row r="46" spans="1:13" ht="15.75" customHeight="1" x14ac:dyDescent="0.2">
      <c r="A46" s="10">
        <v>10</v>
      </c>
      <c r="B46" s="10" t="s">
        <v>51</v>
      </c>
      <c r="C46" s="13">
        <v>1</v>
      </c>
      <c r="D46" s="14"/>
      <c r="E46" s="14">
        <f t="shared" si="1"/>
        <v>0</v>
      </c>
    </row>
    <row r="47" spans="1:13" ht="15.75" customHeight="1" x14ac:dyDescent="0.2">
      <c r="A47" s="10">
        <v>10</v>
      </c>
      <c r="B47" s="10" t="s">
        <v>17</v>
      </c>
      <c r="C47" s="13">
        <v>1</v>
      </c>
      <c r="D47" s="14"/>
      <c r="E47" s="14">
        <f t="shared" si="1"/>
        <v>0</v>
      </c>
    </row>
    <row r="48" spans="1:13" ht="15.75" customHeight="1" x14ac:dyDescent="0.2">
      <c r="C48" s="13">
        <v>1</v>
      </c>
      <c r="D48" s="14"/>
      <c r="E48" s="14">
        <f t="shared" si="1"/>
        <v>0</v>
      </c>
    </row>
    <row r="49" spans="3:5" ht="15.75" customHeight="1" x14ac:dyDescent="0.2">
      <c r="C49" s="13">
        <v>1</v>
      </c>
      <c r="D49" s="14"/>
      <c r="E49" s="14">
        <f t="shared" si="1"/>
        <v>0</v>
      </c>
    </row>
    <row r="50" spans="3:5" ht="15.75" customHeight="1" x14ac:dyDescent="0.2">
      <c r="C50" s="13">
        <v>1</v>
      </c>
      <c r="D50" s="14"/>
      <c r="E50" s="14">
        <f t="shared" si="1"/>
        <v>0</v>
      </c>
    </row>
    <row r="51" spans="3:5" ht="15.75" customHeight="1" x14ac:dyDescent="0.2">
      <c r="C51" s="13">
        <v>1</v>
      </c>
      <c r="D51" s="14"/>
      <c r="E51" s="14">
        <f t="shared" si="1"/>
        <v>0</v>
      </c>
    </row>
    <row r="52" spans="3:5" ht="15.75" customHeight="1" x14ac:dyDescent="0.2">
      <c r="C52" s="13">
        <v>1</v>
      </c>
      <c r="D52" s="14"/>
      <c r="E52" s="14">
        <f t="shared" si="1"/>
        <v>0</v>
      </c>
    </row>
    <row r="53" spans="3:5" ht="15.75" customHeight="1" x14ac:dyDescent="0.2">
      <c r="C53" s="13">
        <v>1</v>
      </c>
      <c r="D53" s="14"/>
      <c r="E53" s="14">
        <f t="shared" si="1"/>
        <v>0</v>
      </c>
    </row>
    <row r="54" spans="3:5" ht="15.75" customHeight="1" x14ac:dyDescent="0.2">
      <c r="C54" s="13">
        <v>1</v>
      </c>
      <c r="D54" s="14"/>
      <c r="E54" s="14">
        <f t="shared" si="1"/>
        <v>0</v>
      </c>
    </row>
    <row r="55" spans="3:5" ht="15.75" customHeight="1" x14ac:dyDescent="0.2">
      <c r="C55" s="13">
        <v>1</v>
      </c>
      <c r="D55" s="14"/>
      <c r="E55" s="14">
        <f t="shared" si="1"/>
        <v>0</v>
      </c>
    </row>
    <row r="56" spans="3:5" ht="15.75" customHeight="1" x14ac:dyDescent="0.2">
      <c r="C56" s="13">
        <v>1</v>
      </c>
      <c r="D56" s="14"/>
      <c r="E56" s="14">
        <f t="shared" si="1"/>
        <v>0</v>
      </c>
    </row>
    <row r="57" spans="3:5" ht="15.75" customHeight="1" x14ac:dyDescent="0.2"/>
    <row r="58" spans="3:5" ht="15.75" customHeight="1" x14ac:dyDescent="0.2">
      <c r="D58" s="16"/>
      <c r="E58" s="17"/>
    </row>
    <row r="59" spans="3:5" ht="15.75" customHeight="1" x14ac:dyDescent="0.2">
      <c r="D59" s="16"/>
      <c r="E59" s="17"/>
    </row>
    <row r="60" spans="3:5" ht="15.75" customHeight="1" x14ac:dyDescent="0.2">
      <c r="D60" s="16"/>
      <c r="E60" s="17"/>
    </row>
    <row r="61" spans="3:5" ht="15.75" customHeight="1" x14ac:dyDescent="0.2">
      <c r="D61" s="16"/>
      <c r="E61" s="17"/>
    </row>
    <row r="62" spans="3:5" ht="15.75" customHeight="1" x14ac:dyDescent="0.2"/>
    <row r="63" spans="3:5" ht="15.75" customHeight="1" x14ac:dyDescent="0.2"/>
    <row r="64" spans="3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</sheetData>
  <mergeCells count="7">
    <mergeCell ref="F1:N1"/>
    <mergeCell ref="B2:E2"/>
    <mergeCell ref="G2:H2"/>
    <mergeCell ref="I2:J2"/>
    <mergeCell ref="K2:L2"/>
    <mergeCell ref="M2:N2"/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defaultColWidth="14.42578125" defaultRowHeight="15" customHeight="1" x14ac:dyDescent="0.25"/>
  <cols>
    <col min="1" max="1" width="92.42578125" customWidth="1"/>
    <col min="2" max="2" width="5.7109375" customWidth="1"/>
    <col min="3" max="3" width="12.5703125" customWidth="1"/>
    <col min="4" max="4" width="12.85546875" customWidth="1"/>
    <col min="5" max="6" width="9.140625" customWidth="1"/>
    <col min="7" max="26" width="8.7109375" customWidth="1"/>
  </cols>
  <sheetData>
    <row r="1" spans="1:26" ht="15.75" x14ac:dyDescent="0.25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x14ac:dyDescent="0.25">
      <c r="A2" s="6" t="s">
        <v>31</v>
      </c>
      <c r="B2" s="4">
        <v>4</v>
      </c>
      <c r="C2" s="5">
        <v>3600</v>
      </c>
      <c r="D2" s="5">
        <f t="shared" ref="D2:D8" si="0">B2*C2</f>
        <v>14400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x14ac:dyDescent="0.25">
      <c r="A3" s="3" t="s">
        <v>32</v>
      </c>
      <c r="B3" s="4">
        <v>4</v>
      </c>
      <c r="C3" s="5">
        <v>1200</v>
      </c>
      <c r="D3" s="5">
        <f t="shared" si="0"/>
        <v>4800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x14ac:dyDescent="0.25">
      <c r="A4" s="7" t="s">
        <v>33</v>
      </c>
      <c r="B4" s="4">
        <v>1</v>
      </c>
      <c r="C4" s="5">
        <v>3600</v>
      </c>
      <c r="D4" s="5">
        <f t="shared" si="0"/>
        <v>3600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x14ac:dyDescent="0.25">
      <c r="A5" s="3" t="s">
        <v>34</v>
      </c>
      <c r="B5" s="4">
        <v>1</v>
      </c>
      <c r="C5" s="5">
        <v>200</v>
      </c>
      <c r="D5" s="5">
        <f t="shared" si="0"/>
        <v>200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x14ac:dyDescent="0.25">
      <c r="A6" s="3" t="s">
        <v>28</v>
      </c>
      <c r="B6" s="4">
        <v>1</v>
      </c>
      <c r="C6" s="5">
        <v>100</v>
      </c>
      <c r="D6" s="5">
        <f t="shared" si="0"/>
        <v>100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x14ac:dyDescent="0.25">
      <c r="A7" s="3" t="s">
        <v>23</v>
      </c>
      <c r="B7" s="4">
        <v>4</v>
      </c>
      <c r="C7" s="5">
        <v>190</v>
      </c>
      <c r="D7" s="5">
        <f t="shared" si="0"/>
        <v>760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x14ac:dyDescent="0.25">
      <c r="A8" s="3" t="s">
        <v>24</v>
      </c>
      <c r="B8" s="4">
        <v>4</v>
      </c>
      <c r="C8" s="5">
        <v>1000</v>
      </c>
      <c r="D8" s="5">
        <f t="shared" si="0"/>
        <v>4000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x14ac:dyDescent="0.25">
      <c r="A10" s="3"/>
      <c r="B10" s="3"/>
      <c r="C10" s="1" t="s">
        <v>19</v>
      </c>
      <c r="D10" s="5">
        <f>SUM(D2:D8)</f>
        <v>27860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x14ac:dyDescent="0.25">
      <c r="A11" s="3"/>
      <c r="B11" s="3"/>
      <c r="C11" s="1" t="s">
        <v>20</v>
      </c>
      <c r="D11" s="5">
        <f>D10*5%</f>
        <v>1393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x14ac:dyDescent="0.25">
      <c r="A12" s="3"/>
      <c r="B12" s="3"/>
      <c r="C12" s="1" t="s">
        <v>21</v>
      </c>
      <c r="D12" s="5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x14ac:dyDescent="0.25">
      <c r="A13" s="3"/>
      <c r="B13" s="3"/>
      <c r="C13" s="1" t="s">
        <v>3</v>
      </c>
      <c r="D13" s="5">
        <f>SUM(D10:D11)-D12</f>
        <v>29253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x14ac:dyDescent="0.2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5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5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5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5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5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5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24"/>
  <sheetViews>
    <sheetView topLeftCell="B16" workbookViewId="0">
      <selection activeCell="G31" sqref="G31"/>
    </sheetView>
  </sheetViews>
  <sheetFormatPr defaultColWidth="14.42578125" defaultRowHeight="15" customHeight="1" x14ac:dyDescent="0.2"/>
  <cols>
    <col min="1" max="1" width="3.28515625" style="10" bestFit="1" customWidth="1"/>
    <col min="2" max="2" width="121.42578125" style="10" bestFit="1" customWidth="1"/>
    <col min="3" max="3" width="5.7109375" style="10" customWidth="1"/>
    <col min="4" max="5" width="12.85546875" style="10" customWidth="1"/>
    <col min="6" max="6" width="9.140625" style="23" customWidth="1"/>
    <col min="7" max="7" width="14" style="30" bestFit="1" customWidth="1"/>
    <col min="8" max="8" width="8.7109375" style="20" customWidth="1"/>
    <col min="9" max="10" width="8.7109375" style="21" customWidth="1"/>
    <col min="11" max="12" width="8.7109375" style="22" customWidth="1"/>
    <col min="13" max="14" width="8.7109375" style="9" customWidth="1"/>
    <col min="15" max="27" width="8.7109375" style="10" customWidth="1"/>
    <col min="28" max="16384" width="14.42578125" style="10"/>
  </cols>
  <sheetData>
    <row r="1" spans="1:14" s="24" customFormat="1" ht="15" customHeight="1" x14ac:dyDescent="0.25">
      <c r="A1" s="33"/>
      <c r="B1" s="33"/>
      <c r="C1" s="33"/>
      <c r="D1" s="33"/>
      <c r="E1" s="33"/>
      <c r="F1" s="33" t="s">
        <v>43</v>
      </c>
      <c r="G1" s="33"/>
      <c r="H1" s="33"/>
      <c r="I1" s="33"/>
      <c r="J1" s="33"/>
      <c r="K1" s="33"/>
      <c r="L1" s="33"/>
      <c r="M1" s="33"/>
      <c r="N1" s="33"/>
    </row>
    <row r="2" spans="1:14" s="24" customFormat="1" ht="15" customHeight="1" x14ac:dyDescent="0.25">
      <c r="B2" s="33" t="s">
        <v>35</v>
      </c>
      <c r="C2" s="33"/>
      <c r="D2" s="33"/>
      <c r="E2" s="33"/>
      <c r="G2" s="33" t="s">
        <v>36</v>
      </c>
      <c r="H2" s="33"/>
      <c r="I2" s="33" t="s">
        <v>38</v>
      </c>
      <c r="J2" s="33"/>
      <c r="K2" s="33" t="s">
        <v>39</v>
      </c>
      <c r="L2" s="33"/>
      <c r="M2" s="33" t="s">
        <v>41</v>
      </c>
      <c r="N2" s="33"/>
    </row>
    <row r="3" spans="1:14" s="29" customFormat="1" ht="15" customHeight="1" x14ac:dyDescent="0.25">
      <c r="B3" s="11" t="s">
        <v>0</v>
      </c>
      <c r="C3" s="12" t="s">
        <v>1</v>
      </c>
      <c r="D3" s="12" t="s">
        <v>2</v>
      </c>
      <c r="E3" s="12" t="s">
        <v>3</v>
      </c>
      <c r="F3" s="25" t="s">
        <v>37</v>
      </c>
      <c r="G3" s="31" t="s">
        <v>40</v>
      </c>
      <c r="H3" s="26" t="s">
        <v>3</v>
      </c>
      <c r="I3" s="27" t="s">
        <v>40</v>
      </c>
      <c r="J3" s="27" t="s">
        <v>3</v>
      </c>
      <c r="K3" s="28" t="s">
        <v>40</v>
      </c>
      <c r="L3" s="28" t="s">
        <v>3</v>
      </c>
      <c r="M3" s="24" t="s">
        <v>40</v>
      </c>
      <c r="N3" s="24" t="s">
        <v>3</v>
      </c>
    </row>
    <row r="4" spans="1:14" ht="15" customHeight="1" x14ac:dyDescent="0.2">
      <c r="A4" s="10">
        <v>1</v>
      </c>
      <c r="B4" s="10" t="s">
        <v>70</v>
      </c>
      <c r="C4" s="13">
        <v>6</v>
      </c>
      <c r="D4" s="14">
        <v>2300</v>
      </c>
      <c r="E4" s="14">
        <f t="shared" ref="E4:E16" si="0">C4*D4</f>
        <v>13800</v>
      </c>
    </row>
    <row r="5" spans="1:14" ht="15" customHeight="1" x14ac:dyDescent="0.2">
      <c r="A5" s="10">
        <v>2</v>
      </c>
      <c r="B5" s="10" t="s">
        <v>69</v>
      </c>
      <c r="C5" s="13">
        <v>1</v>
      </c>
      <c r="D5" s="14">
        <v>6000</v>
      </c>
      <c r="E5" s="14">
        <f t="shared" si="0"/>
        <v>6000</v>
      </c>
    </row>
    <row r="6" spans="1:14" ht="15" customHeight="1" x14ac:dyDescent="0.2">
      <c r="A6" s="10">
        <v>3</v>
      </c>
      <c r="B6" s="10" t="s">
        <v>67</v>
      </c>
      <c r="C6" s="13">
        <v>20</v>
      </c>
      <c r="D6" s="14">
        <v>50</v>
      </c>
      <c r="E6" s="14">
        <f t="shared" si="0"/>
        <v>1000</v>
      </c>
    </row>
    <row r="7" spans="1:14" ht="15" customHeight="1" x14ac:dyDescent="0.2">
      <c r="A7" s="10">
        <v>4</v>
      </c>
      <c r="B7" s="10" t="s">
        <v>68</v>
      </c>
      <c r="C7" s="13">
        <v>12</v>
      </c>
      <c r="D7" s="14">
        <v>30</v>
      </c>
      <c r="E7" s="14">
        <f t="shared" si="0"/>
        <v>360</v>
      </c>
    </row>
    <row r="8" spans="1:14" ht="15" customHeight="1" x14ac:dyDescent="0.2">
      <c r="A8" s="10">
        <v>5</v>
      </c>
      <c r="B8" s="10" t="s">
        <v>65</v>
      </c>
      <c r="C8" s="13">
        <v>2</v>
      </c>
      <c r="D8" s="14">
        <v>100</v>
      </c>
      <c r="E8" s="14">
        <f t="shared" si="0"/>
        <v>200</v>
      </c>
    </row>
    <row r="9" spans="1:14" ht="15" customHeight="1" x14ac:dyDescent="0.2">
      <c r="A9" s="10">
        <v>6</v>
      </c>
      <c r="B9" s="10" t="s">
        <v>28</v>
      </c>
      <c r="C9" s="13">
        <v>1</v>
      </c>
      <c r="D9" s="14">
        <v>100</v>
      </c>
      <c r="E9" s="14">
        <f t="shared" si="0"/>
        <v>100</v>
      </c>
    </row>
    <row r="10" spans="1:14" ht="15" customHeight="1" x14ac:dyDescent="0.2">
      <c r="A10" s="10">
        <v>7</v>
      </c>
      <c r="B10" s="10" t="s">
        <v>74</v>
      </c>
      <c r="C10" s="13">
        <v>1</v>
      </c>
      <c r="D10" s="14">
        <v>6500</v>
      </c>
      <c r="E10" s="14">
        <f t="shared" si="0"/>
        <v>6500</v>
      </c>
    </row>
    <row r="11" spans="1:14" ht="15" customHeight="1" x14ac:dyDescent="0.2">
      <c r="A11" s="10">
        <v>8</v>
      </c>
      <c r="B11" s="10" t="s">
        <v>30</v>
      </c>
      <c r="C11" s="13">
        <v>200</v>
      </c>
      <c r="D11" s="14">
        <v>30</v>
      </c>
      <c r="E11" s="14">
        <f t="shared" si="0"/>
        <v>6000</v>
      </c>
    </row>
    <row r="12" spans="1:14" ht="15" customHeight="1" x14ac:dyDescent="0.2">
      <c r="A12" s="10">
        <v>9</v>
      </c>
      <c r="B12" s="10" t="s">
        <v>23</v>
      </c>
      <c r="C12" s="13">
        <v>15</v>
      </c>
      <c r="D12" s="14">
        <v>190</v>
      </c>
      <c r="E12" s="14">
        <f t="shared" si="0"/>
        <v>2850</v>
      </c>
    </row>
    <row r="13" spans="1:14" ht="15" customHeight="1" x14ac:dyDescent="0.2">
      <c r="A13" s="10">
        <v>10</v>
      </c>
      <c r="B13" s="10" t="s">
        <v>66</v>
      </c>
      <c r="C13" s="13">
        <v>6</v>
      </c>
      <c r="D13" s="14">
        <v>150</v>
      </c>
      <c r="E13" s="14">
        <f t="shared" si="0"/>
        <v>900</v>
      </c>
    </row>
    <row r="14" spans="1:14" ht="15" customHeight="1" x14ac:dyDescent="0.2">
      <c r="A14" s="10">
        <v>11</v>
      </c>
      <c r="B14" s="10" t="s">
        <v>71</v>
      </c>
      <c r="C14" s="13">
        <v>30</v>
      </c>
      <c r="D14" s="14">
        <v>65</v>
      </c>
      <c r="E14" s="14">
        <f t="shared" si="0"/>
        <v>1950</v>
      </c>
    </row>
    <row r="15" spans="1:14" ht="15" customHeight="1" x14ac:dyDescent="0.2">
      <c r="A15" s="10">
        <v>12</v>
      </c>
      <c r="B15" s="10" t="s">
        <v>72</v>
      </c>
      <c r="C15" s="13">
        <v>1</v>
      </c>
      <c r="D15" s="14">
        <v>500</v>
      </c>
      <c r="E15" s="14">
        <f t="shared" si="0"/>
        <v>500</v>
      </c>
    </row>
    <row r="16" spans="1:14" ht="15" customHeight="1" x14ac:dyDescent="0.2">
      <c r="A16" s="10">
        <v>0</v>
      </c>
      <c r="B16" s="10" t="s">
        <v>56</v>
      </c>
      <c r="C16" s="13">
        <v>6</v>
      </c>
      <c r="D16" s="14">
        <v>1000</v>
      </c>
      <c r="E16" s="14">
        <f t="shared" si="0"/>
        <v>6000</v>
      </c>
    </row>
    <row r="18" spans="1:7" ht="15" customHeight="1" x14ac:dyDescent="0.2">
      <c r="D18" s="18" t="s">
        <v>19</v>
      </c>
      <c r="E18" s="14">
        <f>SUM(E4:E16)</f>
        <v>46160</v>
      </c>
    </row>
    <row r="19" spans="1:7" ht="15" customHeight="1" x14ac:dyDescent="0.2">
      <c r="D19" s="18" t="s">
        <v>55</v>
      </c>
      <c r="E19" s="14">
        <f>E18*12%</f>
        <v>5539.2</v>
      </c>
    </row>
    <row r="20" spans="1:7" ht="15" customHeight="1" x14ac:dyDescent="0.2">
      <c r="D20" s="18" t="s">
        <v>21</v>
      </c>
      <c r="E20" s="14">
        <v>0</v>
      </c>
    </row>
    <row r="21" spans="1:7" ht="15" customHeight="1" x14ac:dyDescent="0.2">
      <c r="D21" s="18" t="s">
        <v>3</v>
      </c>
      <c r="E21" s="14">
        <f>SUM(E18:E19)-E20</f>
        <v>51699.199999999997</v>
      </c>
    </row>
    <row r="22" spans="1:7" s="24" customFormat="1" x14ac:dyDescent="0.25">
      <c r="B22" s="8" t="s">
        <v>42</v>
      </c>
      <c r="G22" s="32"/>
    </row>
    <row r="23" spans="1:7" ht="15.75" customHeight="1" x14ac:dyDescent="0.2">
      <c r="B23" s="18" t="s">
        <v>0</v>
      </c>
      <c r="C23" s="19" t="s">
        <v>1</v>
      </c>
      <c r="D23" s="19" t="s">
        <v>2</v>
      </c>
      <c r="E23" s="19" t="s">
        <v>3</v>
      </c>
    </row>
    <row r="24" spans="1:7" ht="15.75" customHeight="1" x14ac:dyDescent="0.2">
      <c r="A24" s="10">
        <v>0</v>
      </c>
      <c r="B24" s="15" t="s">
        <v>18</v>
      </c>
      <c r="C24" s="13">
        <v>1</v>
      </c>
      <c r="D24" s="14">
        <v>300</v>
      </c>
      <c r="E24" s="14">
        <f t="shared" ref="E24:E63" si="1">C24*D24</f>
        <v>300</v>
      </c>
    </row>
    <row r="25" spans="1:7" ht="15.75" customHeight="1" x14ac:dyDescent="0.2">
      <c r="A25" s="10">
        <v>1</v>
      </c>
      <c r="B25" s="10" t="s">
        <v>70</v>
      </c>
      <c r="C25" s="13">
        <v>1</v>
      </c>
      <c r="D25" s="14">
        <v>2100</v>
      </c>
      <c r="E25" s="14">
        <f t="shared" si="1"/>
        <v>2100</v>
      </c>
    </row>
    <row r="26" spans="1:7" ht="15.75" customHeight="1" x14ac:dyDescent="0.2">
      <c r="A26" s="10">
        <v>1</v>
      </c>
      <c r="B26" s="10" t="s">
        <v>82</v>
      </c>
      <c r="C26" s="13">
        <v>1</v>
      </c>
      <c r="D26" s="14"/>
      <c r="E26" s="14">
        <f t="shared" si="1"/>
        <v>0</v>
      </c>
    </row>
    <row r="27" spans="1:7" ht="15.75" customHeight="1" x14ac:dyDescent="0.2">
      <c r="A27" s="10">
        <v>1</v>
      </c>
      <c r="B27" s="10" t="s">
        <v>78</v>
      </c>
      <c r="C27" s="13">
        <v>1</v>
      </c>
      <c r="D27" s="14"/>
      <c r="E27" s="14">
        <f t="shared" si="1"/>
        <v>0</v>
      </c>
    </row>
    <row r="28" spans="1:7" ht="15.75" customHeight="1" x14ac:dyDescent="0.2">
      <c r="A28" s="10">
        <v>1</v>
      </c>
      <c r="B28" s="10" t="s">
        <v>79</v>
      </c>
      <c r="C28" s="13">
        <v>1</v>
      </c>
      <c r="D28" s="14"/>
      <c r="E28" s="14">
        <f t="shared" si="1"/>
        <v>0</v>
      </c>
    </row>
    <row r="29" spans="1:7" ht="15.75" customHeight="1" x14ac:dyDescent="0.2">
      <c r="A29" s="10">
        <v>1</v>
      </c>
      <c r="C29" s="13">
        <v>1</v>
      </c>
      <c r="D29" s="14"/>
      <c r="E29" s="14">
        <f t="shared" si="1"/>
        <v>0</v>
      </c>
    </row>
    <row r="30" spans="1:7" ht="15.75" customHeight="1" x14ac:dyDescent="0.2">
      <c r="A30" s="10">
        <v>1</v>
      </c>
      <c r="C30" s="13">
        <v>1</v>
      </c>
      <c r="D30" s="14"/>
      <c r="E30" s="14">
        <f t="shared" si="1"/>
        <v>0</v>
      </c>
    </row>
    <row r="31" spans="1:7" ht="15.75" customHeight="1" x14ac:dyDescent="0.2">
      <c r="A31" s="10">
        <v>2</v>
      </c>
      <c r="B31" s="10" t="s">
        <v>75</v>
      </c>
      <c r="C31" s="13">
        <v>1</v>
      </c>
      <c r="D31" s="14">
        <v>5800</v>
      </c>
      <c r="E31" s="14">
        <f t="shared" si="1"/>
        <v>5800</v>
      </c>
    </row>
    <row r="32" spans="1:7" ht="15.75" customHeight="1" x14ac:dyDescent="0.2">
      <c r="A32" s="10">
        <v>2</v>
      </c>
      <c r="B32" s="10" t="s">
        <v>80</v>
      </c>
      <c r="C32" s="13">
        <v>1</v>
      </c>
      <c r="D32" s="14">
        <v>15675</v>
      </c>
      <c r="E32" s="14">
        <f t="shared" si="1"/>
        <v>15675</v>
      </c>
      <c r="G32" s="30">
        <v>15675</v>
      </c>
    </row>
    <row r="33" spans="1:7" ht="15.75" customHeight="1" x14ac:dyDescent="0.2">
      <c r="A33" s="10">
        <v>2</v>
      </c>
      <c r="B33" s="10" t="s">
        <v>77</v>
      </c>
      <c r="C33" s="13">
        <v>1</v>
      </c>
      <c r="D33" s="14"/>
      <c r="E33" s="14">
        <f t="shared" si="1"/>
        <v>0</v>
      </c>
    </row>
    <row r="34" spans="1:7" ht="15.75" customHeight="1" x14ac:dyDescent="0.2">
      <c r="A34" s="10">
        <v>2</v>
      </c>
      <c r="B34" s="10" t="s">
        <v>81</v>
      </c>
      <c r="C34" s="13">
        <v>1</v>
      </c>
      <c r="D34" s="14">
        <v>21975</v>
      </c>
      <c r="E34" s="14">
        <f t="shared" si="1"/>
        <v>21975</v>
      </c>
      <c r="G34" s="30">
        <v>21975</v>
      </c>
    </row>
    <row r="35" spans="1:7" ht="15.75" customHeight="1" x14ac:dyDescent="0.2">
      <c r="A35" s="10">
        <v>2</v>
      </c>
      <c r="B35" s="10" t="s">
        <v>76</v>
      </c>
      <c r="C35" s="13">
        <v>1</v>
      </c>
      <c r="D35" s="14"/>
      <c r="E35" s="14">
        <f t="shared" si="1"/>
        <v>0</v>
      </c>
    </row>
    <row r="36" spans="1:7" ht="15.75" customHeight="1" x14ac:dyDescent="0.2">
      <c r="A36" s="10">
        <v>3</v>
      </c>
      <c r="B36" s="10" t="s">
        <v>67</v>
      </c>
      <c r="C36" s="13">
        <v>1</v>
      </c>
      <c r="D36" s="14">
        <v>50</v>
      </c>
      <c r="E36" s="14">
        <f t="shared" si="1"/>
        <v>50</v>
      </c>
    </row>
    <row r="37" spans="1:7" ht="15.75" customHeight="1" x14ac:dyDescent="0.2">
      <c r="A37" s="10">
        <v>4</v>
      </c>
      <c r="B37" s="10" t="s">
        <v>68</v>
      </c>
      <c r="C37" s="13">
        <v>1</v>
      </c>
      <c r="D37" s="14">
        <v>30</v>
      </c>
      <c r="E37" s="14">
        <f t="shared" si="1"/>
        <v>30</v>
      </c>
    </row>
    <row r="38" spans="1:7" ht="15.75" customHeight="1" x14ac:dyDescent="0.2">
      <c r="A38" s="10">
        <v>5</v>
      </c>
      <c r="B38" s="10" t="s">
        <v>65</v>
      </c>
      <c r="C38" s="13">
        <v>1</v>
      </c>
      <c r="D38" s="14">
        <v>100</v>
      </c>
      <c r="E38" s="14">
        <f t="shared" si="1"/>
        <v>100</v>
      </c>
    </row>
    <row r="39" spans="1:7" ht="15.75" customHeight="1" x14ac:dyDescent="0.2">
      <c r="A39" s="10">
        <v>6</v>
      </c>
      <c r="B39" s="10" t="s">
        <v>28</v>
      </c>
      <c r="C39" s="13">
        <v>1</v>
      </c>
      <c r="D39" s="14">
        <v>100</v>
      </c>
      <c r="E39" s="14">
        <f t="shared" si="1"/>
        <v>100</v>
      </c>
    </row>
    <row r="40" spans="1:7" ht="15.75" customHeight="1" x14ac:dyDescent="0.2">
      <c r="A40" s="10">
        <v>7</v>
      </c>
      <c r="B40" s="10" t="s">
        <v>29</v>
      </c>
      <c r="C40" s="13">
        <v>1</v>
      </c>
      <c r="D40" s="14">
        <v>4000</v>
      </c>
      <c r="E40" s="14">
        <f t="shared" si="1"/>
        <v>4000</v>
      </c>
    </row>
    <row r="41" spans="1:7" ht="15.75" customHeight="1" x14ac:dyDescent="0.2">
      <c r="A41" s="10">
        <v>7</v>
      </c>
      <c r="B41" s="10" t="s">
        <v>74</v>
      </c>
      <c r="C41" s="13">
        <v>1</v>
      </c>
      <c r="D41" s="14">
        <v>6500</v>
      </c>
      <c r="E41" s="14">
        <f t="shared" si="1"/>
        <v>6500</v>
      </c>
    </row>
    <row r="42" spans="1:7" ht="15.75" customHeight="1" x14ac:dyDescent="0.2">
      <c r="A42" s="10">
        <v>8</v>
      </c>
      <c r="B42" s="10" t="s">
        <v>30</v>
      </c>
      <c r="C42" s="13">
        <v>1</v>
      </c>
      <c r="D42" s="14">
        <v>30</v>
      </c>
      <c r="E42" s="14">
        <f t="shared" si="1"/>
        <v>30</v>
      </c>
    </row>
    <row r="43" spans="1:7" ht="15.75" customHeight="1" x14ac:dyDescent="0.2">
      <c r="A43" s="10">
        <v>9</v>
      </c>
      <c r="B43" s="10" t="s">
        <v>23</v>
      </c>
      <c r="C43" s="13">
        <v>1</v>
      </c>
      <c r="D43" s="14">
        <v>190</v>
      </c>
      <c r="E43" s="14">
        <f t="shared" si="1"/>
        <v>190</v>
      </c>
    </row>
    <row r="44" spans="1:7" ht="15.75" customHeight="1" x14ac:dyDescent="0.2">
      <c r="A44" s="10">
        <v>10</v>
      </c>
      <c r="B44" s="10" t="s">
        <v>66</v>
      </c>
      <c r="C44" s="13">
        <v>1</v>
      </c>
      <c r="D44" s="14">
        <v>150</v>
      </c>
      <c r="E44" s="14">
        <f t="shared" si="1"/>
        <v>150</v>
      </c>
    </row>
    <row r="45" spans="1:7" ht="15" customHeight="1" x14ac:dyDescent="0.2">
      <c r="C45" s="13">
        <v>1</v>
      </c>
      <c r="D45" s="14"/>
      <c r="E45" s="14">
        <f t="shared" si="1"/>
        <v>0</v>
      </c>
    </row>
    <row r="46" spans="1:7" ht="15.75" customHeight="1" x14ac:dyDescent="0.2">
      <c r="C46" s="13">
        <v>1</v>
      </c>
      <c r="D46" s="14"/>
      <c r="E46" s="14">
        <f t="shared" si="1"/>
        <v>0</v>
      </c>
    </row>
    <row r="47" spans="1:7" ht="15.75" customHeight="1" x14ac:dyDescent="0.2">
      <c r="C47" s="13">
        <v>1</v>
      </c>
      <c r="D47" s="14"/>
      <c r="E47" s="14">
        <f t="shared" si="1"/>
        <v>0</v>
      </c>
    </row>
    <row r="48" spans="1:7" ht="15.75" customHeight="1" x14ac:dyDescent="0.2">
      <c r="C48" s="13">
        <v>1</v>
      </c>
      <c r="D48" s="14"/>
      <c r="E48" s="14">
        <f t="shared" si="1"/>
        <v>0</v>
      </c>
    </row>
    <row r="49" spans="3:5" ht="15.75" customHeight="1" x14ac:dyDescent="0.2">
      <c r="C49" s="13">
        <v>1</v>
      </c>
      <c r="D49" s="14"/>
      <c r="E49" s="14">
        <f t="shared" si="1"/>
        <v>0</v>
      </c>
    </row>
    <row r="50" spans="3:5" ht="15.75" customHeight="1" x14ac:dyDescent="0.2">
      <c r="C50" s="13">
        <v>1</v>
      </c>
      <c r="D50" s="14"/>
      <c r="E50" s="14">
        <f t="shared" si="1"/>
        <v>0</v>
      </c>
    </row>
    <row r="51" spans="3:5" ht="15.75" customHeight="1" x14ac:dyDescent="0.2">
      <c r="C51" s="13">
        <v>1</v>
      </c>
      <c r="D51" s="14"/>
      <c r="E51" s="14">
        <f t="shared" si="1"/>
        <v>0</v>
      </c>
    </row>
    <row r="52" spans="3:5" ht="15.75" customHeight="1" x14ac:dyDescent="0.2">
      <c r="C52" s="13">
        <v>1</v>
      </c>
      <c r="D52" s="14"/>
      <c r="E52" s="14">
        <f t="shared" si="1"/>
        <v>0</v>
      </c>
    </row>
    <row r="53" spans="3:5" ht="15.75" customHeight="1" x14ac:dyDescent="0.2">
      <c r="C53" s="13">
        <v>1</v>
      </c>
      <c r="D53" s="14"/>
      <c r="E53" s="14">
        <f t="shared" si="1"/>
        <v>0</v>
      </c>
    </row>
    <row r="54" spans="3:5" ht="15.75" customHeight="1" x14ac:dyDescent="0.2">
      <c r="C54" s="13">
        <v>1</v>
      </c>
      <c r="D54" s="14"/>
      <c r="E54" s="14">
        <f t="shared" si="1"/>
        <v>0</v>
      </c>
    </row>
    <row r="55" spans="3:5" ht="15.75" customHeight="1" x14ac:dyDescent="0.2">
      <c r="C55" s="13">
        <v>1</v>
      </c>
      <c r="D55" s="14"/>
      <c r="E55" s="14">
        <f t="shared" si="1"/>
        <v>0</v>
      </c>
    </row>
    <row r="56" spans="3:5" ht="15.75" customHeight="1" x14ac:dyDescent="0.2">
      <c r="C56" s="13">
        <v>1</v>
      </c>
      <c r="D56" s="14"/>
      <c r="E56" s="14">
        <f t="shared" si="1"/>
        <v>0</v>
      </c>
    </row>
    <row r="57" spans="3:5" ht="15.75" customHeight="1" x14ac:dyDescent="0.2">
      <c r="C57" s="13">
        <v>1</v>
      </c>
      <c r="D57" s="14"/>
      <c r="E57" s="14">
        <f t="shared" si="1"/>
        <v>0</v>
      </c>
    </row>
    <row r="58" spans="3:5" ht="15.75" customHeight="1" x14ac:dyDescent="0.2">
      <c r="C58" s="13">
        <v>1</v>
      </c>
      <c r="D58" s="14"/>
      <c r="E58" s="14">
        <f t="shared" si="1"/>
        <v>0</v>
      </c>
    </row>
    <row r="59" spans="3:5" ht="15.75" customHeight="1" x14ac:dyDescent="0.2">
      <c r="C59" s="13">
        <v>1</v>
      </c>
      <c r="D59" s="14"/>
      <c r="E59" s="14">
        <f t="shared" si="1"/>
        <v>0</v>
      </c>
    </row>
    <row r="60" spans="3:5" ht="15.75" customHeight="1" x14ac:dyDescent="0.2">
      <c r="C60" s="13">
        <v>1</v>
      </c>
      <c r="D60" s="14"/>
      <c r="E60" s="14">
        <f t="shared" si="1"/>
        <v>0</v>
      </c>
    </row>
    <row r="61" spans="3:5" ht="15.75" customHeight="1" x14ac:dyDescent="0.2">
      <c r="C61" s="13">
        <v>1</v>
      </c>
      <c r="D61" s="14"/>
      <c r="E61" s="14">
        <f t="shared" si="1"/>
        <v>0</v>
      </c>
    </row>
    <row r="62" spans="3:5" ht="15.75" customHeight="1" x14ac:dyDescent="0.2">
      <c r="C62" s="13">
        <v>1</v>
      </c>
      <c r="D62" s="14"/>
      <c r="E62" s="14">
        <f t="shared" si="1"/>
        <v>0</v>
      </c>
    </row>
    <row r="63" spans="3:5" ht="15.75" customHeight="1" x14ac:dyDescent="0.2">
      <c r="C63" s="13">
        <v>1</v>
      </c>
      <c r="D63" s="14"/>
      <c r="E63" s="14">
        <f t="shared" si="1"/>
        <v>0</v>
      </c>
    </row>
    <row r="64" spans="3:5" ht="15.75" customHeight="1" x14ac:dyDescent="0.2"/>
    <row r="65" spans="4:5" ht="15.75" customHeight="1" x14ac:dyDescent="0.2">
      <c r="D65" s="16"/>
      <c r="E65" s="17"/>
    </row>
    <row r="66" spans="4:5" ht="15.75" customHeight="1" x14ac:dyDescent="0.2">
      <c r="D66" s="16"/>
      <c r="E66" s="17"/>
    </row>
    <row r="67" spans="4:5" ht="15.75" customHeight="1" x14ac:dyDescent="0.2">
      <c r="D67" s="16"/>
      <c r="E67" s="17"/>
    </row>
    <row r="68" spans="4:5" ht="15.75" customHeight="1" x14ac:dyDescent="0.2">
      <c r="D68" s="16"/>
      <c r="E68" s="17"/>
    </row>
    <row r="69" spans="4:5" ht="15.75" customHeight="1" x14ac:dyDescent="0.2"/>
    <row r="70" spans="4:5" ht="15.75" customHeight="1" x14ac:dyDescent="0.2"/>
    <row r="71" spans="4:5" ht="15.75" customHeight="1" x14ac:dyDescent="0.2"/>
    <row r="72" spans="4:5" ht="15.75" customHeight="1" x14ac:dyDescent="0.2"/>
    <row r="73" spans="4:5" ht="15.75" customHeight="1" x14ac:dyDescent="0.2"/>
    <row r="74" spans="4:5" ht="15.75" customHeight="1" x14ac:dyDescent="0.2"/>
    <row r="75" spans="4:5" ht="15.75" customHeight="1" x14ac:dyDescent="0.2"/>
    <row r="76" spans="4:5" ht="15.75" customHeight="1" x14ac:dyDescent="0.2"/>
    <row r="77" spans="4:5" ht="15.75" customHeight="1" x14ac:dyDescent="0.2"/>
    <row r="78" spans="4:5" ht="15.75" customHeight="1" x14ac:dyDescent="0.2"/>
    <row r="79" spans="4:5" ht="15.75" customHeight="1" x14ac:dyDescent="0.2"/>
    <row r="80" spans="4:5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.75" customHeight="1" x14ac:dyDescent="0.2"/>
    <row r="1019" ht="15.75" customHeight="1" x14ac:dyDescent="0.2"/>
    <row r="1020" ht="15.75" customHeight="1" x14ac:dyDescent="0.2"/>
    <row r="1021" ht="15.75" customHeight="1" x14ac:dyDescent="0.2"/>
    <row r="1022" ht="15.75" customHeight="1" x14ac:dyDescent="0.2"/>
    <row r="1023" ht="15.75" customHeight="1" x14ac:dyDescent="0.2"/>
    <row r="1024" ht="15.75" customHeight="1" x14ac:dyDescent="0.2"/>
  </sheetData>
  <mergeCells count="7">
    <mergeCell ref="A1:E1"/>
    <mergeCell ref="F1:N1"/>
    <mergeCell ref="B2:E2"/>
    <mergeCell ref="G2:H2"/>
    <mergeCell ref="I2:J2"/>
    <mergeCell ref="K2:L2"/>
    <mergeCell ref="M2:N2"/>
  </mergeCells>
  <phoneticPr fontId="11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4EEC2-69E7-40E0-AB6D-A4F12FEBD21B}">
  <dimension ref="A1:N1039"/>
  <sheetViews>
    <sheetView topLeftCell="A4" workbookViewId="0">
      <selection activeCell="B13" sqref="B13"/>
    </sheetView>
  </sheetViews>
  <sheetFormatPr defaultColWidth="14.42578125" defaultRowHeight="14.25" x14ac:dyDescent="0.2"/>
  <cols>
    <col min="1" max="1" width="3.28515625" style="10" bestFit="1" customWidth="1"/>
    <col min="2" max="2" width="133.42578125" style="10" bestFit="1" customWidth="1"/>
    <col min="3" max="3" width="5.7109375" style="10" customWidth="1"/>
    <col min="4" max="5" width="12.85546875" style="10" customWidth="1"/>
    <col min="6" max="6" width="9.140625" style="23" customWidth="1"/>
    <col min="7" max="7" width="9.140625" style="20" customWidth="1"/>
    <col min="8" max="8" width="8.7109375" style="20" customWidth="1"/>
    <col min="9" max="10" width="8.7109375" style="21" customWidth="1"/>
    <col min="11" max="12" width="8.7109375" style="22" customWidth="1"/>
    <col min="13" max="14" width="8.7109375" style="9" customWidth="1"/>
    <col min="15" max="27" width="8.7109375" style="10" customWidth="1"/>
    <col min="28" max="16384" width="14.42578125" style="10"/>
  </cols>
  <sheetData>
    <row r="1" spans="1:14" s="24" customFormat="1" ht="15" customHeight="1" x14ac:dyDescent="0.25">
      <c r="A1" s="33"/>
      <c r="B1" s="33"/>
      <c r="C1" s="33"/>
      <c r="D1" s="33"/>
      <c r="E1" s="33"/>
      <c r="F1" s="33" t="s">
        <v>43</v>
      </c>
      <c r="G1" s="33"/>
      <c r="H1" s="33"/>
      <c r="I1" s="33"/>
      <c r="J1" s="33"/>
      <c r="K1" s="33"/>
      <c r="L1" s="33"/>
      <c r="M1" s="33"/>
      <c r="N1" s="33"/>
    </row>
    <row r="2" spans="1:14" s="24" customFormat="1" ht="15" customHeight="1" x14ac:dyDescent="0.25">
      <c r="B2" s="33" t="s">
        <v>35</v>
      </c>
      <c r="C2" s="33"/>
      <c r="D2" s="33"/>
      <c r="E2" s="33"/>
      <c r="G2" s="33" t="s">
        <v>36</v>
      </c>
      <c r="H2" s="33"/>
      <c r="I2" s="33" t="s">
        <v>38</v>
      </c>
      <c r="J2" s="33"/>
      <c r="K2" s="33" t="s">
        <v>39</v>
      </c>
      <c r="L2" s="33"/>
      <c r="M2" s="33" t="s">
        <v>41</v>
      </c>
      <c r="N2" s="33"/>
    </row>
    <row r="3" spans="1:14" s="29" customFormat="1" ht="15" customHeight="1" x14ac:dyDescent="0.25">
      <c r="B3" s="11" t="s">
        <v>0</v>
      </c>
      <c r="C3" s="12" t="s">
        <v>1</v>
      </c>
      <c r="D3" s="12" t="s">
        <v>2</v>
      </c>
      <c r="E3" s="12" t="s">
        <v>3</v>
      </c>
      <c r="F3" s="25" t="s">
        <v>37</v>
      </c>
      <c r="G3" s="26" t="s">
        <v>40</v>
      </c>
      <c r="H3" s="26" t="s">
        <v>3</v>
      </c>
      <c r="I3" s="27" t="s">
        <v>40</v>
      </c>
      <c r="J3" s="27" t="s">
        <v>3</v>
      </c>
      <c r="K3" s="28" t="s">
        <v>40</v>
      </c>
      <c r="L3" s="28" t="s">
        <v>3</v>
      </c>
      <c r="M3" s="24" t="s">
        <v>40</v>
      </c>
      <c r="N3" s="24" t="s">
        <v>3</v>
      </c>
    </row>
    <row r="4" spans="1:14" ht="15" customHeight="1" x14ac:dyDescent="0.2">
      <c r="A4" s="10">
        <v>1</v>
      </c>
      <c r="B4" s="10" t="s">
        <v>85</v>
      </c>
      <c r="C4" s="13">
        <v>6</v>
      </c>
      <c r="D4" s="14">
        <v>2200</v>
      </c>
      <c r="E4" s="14">
        <f t="shared" ref="E4:E18" si="0">C4*D4</f>
        <v>13200</v>
      </c>
    </row>
    <row r="5" spans="1:14" ht="15" customHeight="1" x14ac:dyDescent="0.2">
      <c r="A5" s="10">
        <v>2</v>
      </c>
      <c r="B5" s="10" t="s">
        <v>86</v>
      </c>
      <c r="C5" s="13">
        <v>1</v>
      </c>
      <c r="D5" s="14">
        <v>4850</v>
      </c>
      <c r="E5" s="14">
        <f t="shared" si="0"/>
        <v>4850</v>
      </c>
    </row>
    <row r="6" spans="1:14" ht="15" customHeight="1" x14ac:dyDescent="0.2">
      <c r="B6" s="10" t="s">
        <v>90</v>
      </c>
      <c r="C6" s="13"/>
      <c r="D6" s="14"/>
      <c r="E6" s="14"/>
    </row>
    <row r="7" spans="1:14" ht="15" customHeight="1" x14ac:dyDescent="0.2">
      <c r="A7" s="10">
        <v>3</v>
      </c>
      <c r="B7" s="10" t="s">
        <v>30</v>
      </c>
      <c r="C7" s="13">
        <v>6</v>
      </c>
      <c r="D7" s="14">
        <v>260</v>
      </c>
      <c r="E7" s="14">
        <f t="shared" si="0"/>
        <v>1560</v>
      </c>
    </row>
    <row r="8" spans="1:14" ht="15" customHeight="1" x14ac:dyDescent="0.2">
      <c r="A8" s="10">
        <v>4</v>
      </c>
      <c r="B8" s="10" t="s">
        <v>87</v>
      </c>
      <c r="C8" s="13">
        <v>6</v>
      </c>
      <c r="D8" s="14">
        <v>40</v>
      </c>
      <c r="E8" s="14">
        <f t="shared" si="0"/>
        <v>240</v>
      </c>
    </row>
    <row r="9" spans="1:14" ht="15" customHeight="1" x14ac:dyDescent="0.2">
      <c r="A9" s="10">
        <v>5</v>
      </c>
      <c r="B9" s="10" t="s">
        <v>88</v>
      </c>
      <c r="C9" s="13">
        <v>1</v>
      </c>
      <c r="D9" s="14">
        <v>1300</v>
      </c>
      <c r="E9" s="14">
        <f t="shared" si="0"/>
        <v>1300</v>
      </c>
    </row>
    <row r="10" spans="1:14" ht="15" customHeight="1" x14ac:dyDescent="0.2">
      <c r="A10" s="10">
        <v>6</v>
      </c>
      <c r="B10" s="10" t="s">
        <v>89</v>
      </c>
      <c r="C10" s="13">
        <v>2</v>
      </c>
      <c r="D10" s="14">
        <v>100</v>
      </c>
      <c r="E10" s="14">
        <f t="shared" si="0"/>
        <v>200</v>
      </c>
    </row>
    <row r="11" spans="1:14" ht="15" customHeight="1" x14ac:dyDescent="0.2">
      <c r="A11" s="10">
        <v>7</v>
      </c>
      <c r="B11" s="10" t="s">
        <v>28</v>
      </c>
      <c r="C11" s="13">
        <v>1</v>
      </c>
      <c r="D11" s="14">
        <v>50</v>
      </c>
      <c r="E11" s="14">
        <f t="shared" si="0"/>
        <v>50</v>
      </c>
    </row>
    <row r="12" spans="1:14" ht="15" customHeight="1" x14ac:dyDescent="0.2">
      <c r="A12" s="10">
        <v>8</v>
      </c>
      <c r="B12" s="10" t="s">
        <v>29</v>
      </c>
      <c r="C12" s="13">
        <v>1</v>
      </c>
      <c r="D12" s="14">
        <v>4000</v>
      </c>
      <c r="E12" s="14">
        <f t="shared" si="0"/>
        <v>4000</v>
      </c>
    </row>
    <row r="13" spans="1:14" ht="15" customHeight="1" x14ac:dyDescent="0.2">
      <c r="A13" s="10">
        <v>9</v>
      </c>
      <c r="C13" s="13">
        <v>150</v>
      </c>
      <c r="D13" s="14">
        <v>30</v>
      </c>
      <c r="E13" s="14">
        <f t="shared" si="0"/>
        <v>4500</v>
      </c>
    </row>
    <row r="14" spans="1:14" ht="15" customHeight="1" x14ac:dyDescent="0.2">
      <c r="A14" s="10">
        <v>10</v>
      </c>
      <c r="B14" s="10" t="s">
        <v>51</v>
      </c>
      <c r="C14" s="13">
        <v>5</v>
      </c>
      <c r="D14" s="14">
        <v>120</v>
      </c>
      <c r="E14" s="14">
        <f t="shared" si="0"/>
        <v>600</v>
      </c>
    </row>
    <row r="15" spans="1:14" ht="15" customHeight="1" x14ac:dyDescent="0.2">
      <c r="A15" s="10">
        <v>11</v>
      </c>
      <c r="B15" s="10" t="s">
        <v>66</v>
      </c>
      <c r="C15" s="13">
        <v>15</v>
      </c>
      <c r="D15" s="14">
        <v>120</v>
      </c>
      <c r="E15" s="14">
        <f t="shared" si="0"/>
        <v>1800</v>
      </c>
    </row>
    <row r="16" spans="1:14" ht="15" customHeight="1" x14ac:dyDescent="0.2">
      <c r="A16" s="10">
        <v>12</v>
      </c>
      <c r="B16" s="10" t="s">
        <v>71</v>
      </c>
      <c r="C16" s="13">
        <v>30</v>
      </c>
      <c r="D16" s="14">
        <v>65</v>
      </c>
      <c r="E16" s="14">
        <f t="shared" si="0"/>
        <v>1950</v>
      </c>
    </row>
    <row r="17" spans="1:13" ht="15" customHeight="1" x14ac:dyDescent="0.2">
      <c r="A17" s="10">
        <v>13</v>
      </c>
      <c r="B17" s="10" t="s">
        <v>72</v>
      </c>
      <c r="C17" s="13">
        <v>1</v>
      </c>
      <c r="D17" s="14">
        <v>500</v>
      </c>
      <c r="E17" s="14">
        <f t="shared" si="0"/>
        <v>500</v>
      </c>
    </row>
    <row r="18" spans="1:13" ht="15" customHeight="1" x14ac:dyDescent="0.2">
      <c r="A18" s="10">
        <v>0</v>
      </c>
      <c r="B18" s="10" t="s">
        <v>56</v>
      </c>
      <c r="C18" s="13">
        <v>6</v>
      </c>
      <c r="D18" s="14">
        <v>1000</v>
      </c>
      <c r="E18" s="14">
        <f t="shared" si="0"/>
        <v>6000</v>
      </c>
    </row>
    <row r="19" spans="1:13" ht="15" customHeight="1" x14ac:dyDescent="0.2"/>
    <row r="20" spans="1:13" ht="15" customHeight="1" x14ac:dyDescent="0.2">
      <c r="D20" s="18" t="s">
        <v>19</v>
      </c>
      <c r="E20" s="14">
        <f>SUM(E4:E18)</f>
        <v>40750</v>
      </c>
    </row>
    <row r="21" spans="1:13" ht="15" customHeight="1" x14ac:dyDescent="0.2">
      <c r="D21" s="18" t="s">
        <v>55</v>
      </c>
      <c r="E21" s="14">
        <f>E20*12%</f>
        <v>4890</v>
      </c>
    </row>
    <row r="22" spans="1:13" ht="15" customHeight="1" x14ac:dyDescent="0.2">
      <c r="D22" s="18" t="s">
        <v>21</v>
      </c>
      <c r="E22" s="14">
        <v>0</v>
      </c>
    </row>
    <row r="23" spans="1:13" ht="15" customHeight="1" x14ac:dyDescent="0.2">
      <c r="D23" s="18" t="s">
        <v>3</v>
      </c>
      <c r="E23" s="14">
        <f>SUM(E20:E21)-E22</f>
        <v>45640</v>
      </c>
    </row>
    <row r="24" spans="1:13" s="24" customFormat="1" ht="15" x14ac:dyDescent="0.25">
      <c r="B24" s="8" t="s">
        <v>42</v>
      </c>
    </row>
    <row r="25" spans="1:13" ht="15.75" customHeight="1" x14ac:dyDescent="0.2">
      <c r="B25" s="18" t="s">
        <v>0</v>
      </c>
      <c r="C25" s="19" t="s">
        <v>1</v>
      </c>
      <c r="D25" s="19" t="s">
        <v>2</v>
      </c>
      <c r="E25" s="19" t="s">
        <v>3</v>
      </c>
    </row>
    <row r="26" spans="1:13" ht="15.75" customHeight="1" x14ac:dyDescent="0.2">
      <c r="A26" s="10">
        <v>0</v>
      </c>
      <c r="B26" s="15" t="s">
        <v>18</v>
      </c>
      <c r="C26" s="13">
        <v>1</v>
      </c>
      <c r="D26" s="14">
        <v>3000</v>
      </c>
      <c r="E26" s="14">
        <f t="shared" ref="E26:E56" si="1">C26*D26</f>
        <v>3000</v>
      </c>
      <c r="M26" s="9">
        <v>300</v>
      </c>
    </row>
    <row r="27" spans="1:13" ht="15.75" customHeight="1" x14ac:dyDescent="0.2">
      <c r="C27" s="13">
        <v>1</v>
      </c>
      <c r="D27" s="14"/>
      <c r="E27" s="14">
        <f t="shared" si="1"/>
        <v>0</v>
      </c>
      <c r="G27" s="20">
        <v>2150</v>
      </c>
      <c r="K27" s="22">
        <v>2100</v>
      </c>
      <c r="M27" s="9">
        <v>2200</v>
      </c>
    </row>
    <row r="28" spans="1:13" ht="15.75" customHeight="1" x14ac:dyDescent="0.2">
      <c r="C28" s="13">
        <v>1</v>
      </c>
      <c r="D28" s="14"/>
      <c r="E28" s="14">
        <f t="shared" si="1"/>
        <v>0</v>
      </c>
      <c r="G28" s="20">
        <v>3039</v>
      </c>
    </row>
    <row r="29" spans="1:13" ht="15.75" customHeight="1" x14ac:dyDescent="0.2">
      <c r="C29" s="13">
        <v>1</v>
      </c>
      <c r="D29" s="14"/>
      <c r="E29" s="14">
        <f t="shared" si="1"/>
        <v>0</v>
      </c>
      <c r="I29" s="21">
        <v>1600</v>
      </c>
      <c r="M29" s="9">
        <v>1700</v>
      </c>
    </row>
    <row r="30" spans="1:13" ht="15.75" customHeight="1" x14ac:dyDescent="0.2">
      <c r="C30" s="13">
        <v>1</v>
      </c>
      <c r="D30" s="14"/>
      <c r="E30" s="14">
        <f t="shared" si="1"/>
        <v>0</v>
      </c>
      <c r="G30" s="20">
        <v>3550</v>
      </c>
      <c r="K30" s="22">
        <v>3850</v>
      </c>
      <c r="M30" s="9">
        <v>3850</v>
      </c>
    </row>
    <row r="31" spans="1:13" ht="15.75" customHeight="1" x14ac:dyDescent="0.2">
      <c r="C31" s="13">
        <v>1</v>
      </c>
      <c r="D31" s="14"/>
      <c r="E31" s="14">
        <f t="shared" si="1"/>
        <v>0</v>
      </c>
      <c r="G31" s="20">
        <v>4232</v>
      </c>
      <c r="K31" s="22">
        <v>4850</v>
      </c>
      <c r="M31" s="9">
        <v>4850</v>
      </c>
    </row>
    <row r="32" spans="1:13" ht="15.75" customHeight="1" x14ac:dyDescent="0.2">
      <c r="C32" s="13">
        <v>1</v>
      </c>
      <c r="D32" s="14"/>
      <c r="E32" s="14">
        <f t="shared" si="1"/>
        <v>0</v>
      </c>
      <c r="I32" s="21">
        <v>2850</v>
      </c>
      <c r="M32" s="9">
        <v>3000</v>
      </c>
    </row>
    <row r="33" spans="3:13" ht="15.75" customHeight="1" x14ac:dyDescent="0.2">
      <c r="C33" s="13">
        <v>1</v>
      </c>
      <c r="D33" s="14"/>
      <c r="E33" s="14">
        <f t="shared" si="1"/>
        <v>0</v>
      </c>
      <c r="I33" s="21">
        <v>3800</v>
      </c>
      <c r="M33" s="9">
        <v>4000</v>
      </c>
    </row>
    <row r="34" spans="3:13" ht="15.75" customHeight="1" x14ac:dyDescent="0.2">
      <c r="C34" s="13">
        <v>1</v>
      </c>
      <c r="D34" s="14"/>
      <c r="E34" s="14">
        <f t="shared" si="1"/>
        <v>0</v>
      </c>
      <c r="G34" s="20">
        <v>200</v>
      </c>
      <c r="I34" s="21">
        <v>217</v>
      </c>
      <c r="K34" s="22">
        <v>250</v>
      </c>
      <c r="M34" s="9">
        <v>260</v>
      </c>
    </row>
    <row r="35" spans="3:13" ht="15.75" customHeight="1" x14ac:dyDescent="0.2">
      <c r="C35" s="13">
        <v>1</v>
      </c>
      <c r="D35" s="14"/>
      <c r="E35" s="14">
        <f t="shared" si="1"/>
        <v>0</v>
      </c>
    </row>
    <row r="36" spans="3:13" ht="15.75" customHeight="1" x14ac:dyDescent="0.2">
      <c r="C36" s="13">
        <v>1</v>
      </c>
      <c r="D36" s="14"/>
      <c r="E36" s="14">
        <f t="shared" si="1"/>
        <v>0</v>
      </c>
    </row>
    <row r="37" spans="3:13" ht="15.75" customHeight="1" x14ac:dyDescent="0.2">
      <c r="C37" s="13">
        <v>1</v>
      </c>
      <c r="D37" s="14"/>
      <c r="E37" s="14">
        <f t="shared" si="1"/>
        <v>0</v>
      </c>
    </row>
    <row r="38" spans="3:13" ht="15" customHeight="1" x14ac:dyDescent="0.2">
      <c r="C38" s="13">
        <v>1</v>
      </c>
      <c r="D38" s="14"/>
      <c r="E38" s="14">
        <f t="shared" si="1"/>
        <v>0</v>
      </c>
    </row>
    <row r="39" spans="3:13" ht="15.75" customHeight="1" x14ac:dyDescent="0.2">
      <c r="C39" s="13">
        <v>1</v>
      </c>
      <c r="D39" s="14"/>
      <c r="E39" s="14">
        <f t="shared" si="1"/>
        <v>0</v>
      </c>
    </row>
    <row r="40" spans="3:13" ht="15.75" customHeight="1" x14ac:dyDescent="0.2">
      <c r="C40" s="13">
        <v>1</v>
      </c>
      <c r="D40" s="14"/>
      <c r="E40" s="14">
        <f t="shared" si="1"/>
        <v>0</v>
      </c>
    </row>
    <row r="41" spans="3:13" ht="15.75" customHeight="1" x14ac:dyDescent="0.2">
      <c r="C41" s="13">
        <v>1</v>
      </c>
      <c r="D41" s="14"/>
      <c r="E41" s="14">
        <f t="shared" si="1"/>
        <v>0</v>
      </c>
    </row>
    <row r="42" spans="3:13" ht="15.75" customHeight="1" x14ac:dyDescent="0.2">
      <c r="C42" s="13">
        <v>1</v>
      </c>
      <c r="D42" s="14"/>
      <c r="E42" s="14">
        <f t="shared" si="1"/>
        <v>0</v>
      </c>
      <c r="K42" s="22">
        <v>100</v>
      </c>
      <c r="M42" s="9">
        <v>150</v>
      </c>
    </row>
    <row r="43" spans="3:13" ht="15.75" customHeight="1" x14ac:dyDescent="0.2">
      <c r="C43" s="13">
        <v>1</v>
      </c>
      <c r="D43" s="14"/>
      <c r="E43" s="14">
        <f t="shared" si="1"/>
        <v>0</v>
      </c>
      <c r="M43" s="9">
        <v>30</v>
      </c>
    </row>
    <row r="44" spans="3:13" ht="15.75" customHeight="1" x14ac:dyDescent="0.2">
      <c r="C44" s="13">
        <v>1</v>
      </c>
      <c r="D44" s="14"/>
      <c r="E44" s="14">
        <f t="shared" si="1"/>
        <v>0</v>
      </c>
      <c r="I44" s="21">
        <v>1400</v>
      </c>
      <c r="K44" s="22">
        <v>2900</v>
      </c>
      <c r="M44" s="9">
        <v>3000</v>
      </c>
    </row>
    <row r="45" spans="3:13" ht="15.75" customHeight="1" x14ac:dyDescent="0.2">
      <c r="C45" s="13">
        <v>1</v>
      </c>
      <c r="D45" s="14"/>
      <c r="E45" s="14">
        <f t="shared" si="1"/>
        <v>0</v>
      </c>
      <c r="M45" s="9">
        <v>6000</v>
      </c>
    </row>
    <row r="46" spans="3:13" ht="15.75" customHeight="1" x14ac:dyDescent="0.2">
      <c r="C46" s="13">
        <v>1</v>
      </c>
      <c r="D46" s="14"/>
      <c r="E46" s="14">
        <f t="shared" si="1"/>
        <v>0</v>
      </c>
    </row>
    <row r="47" spans="3:13" ht="15.75" customHeight="1" x14ac:dyDescent="0.2">
      <c r="C47" s="13">
        <v>1</v>
      </c>
      <c r="D47" s="14"/>
      <c r="E47" s="14">
        <f t="shared" si="1"/>
        <v>0</v>
      </c>
    </row>
    <row r="48" spans="3:13" ht="15.75" customHeight="1" x14ac:dyDescent="0.2">
      <c r="C48" s="13">
        <v>1</v>
      </c>
      <c r="D48" s="14"/>
      <c r="E48" s="14">
        <f t="shared" si="1"/>
        <v>0</v>
      </c>
    </row>
    <row r="49" spans="3:5" ht="15.75" customHeight="1" x14ac:dyDescent="0.2">
      <c r="C49" s="13">
        <v>1</v>
      </c>
      <c r="D49" s="14"/>
      <c r="E49" s="14">
        <f t="shared" si="1"/>
        <v>0</v>
      </c>
    </row>
    <row r="50" spans="3:5" ht="15.75" customHeight="1" x14ac:dyDescent="0.2">
      <c r="C50" s="13">
        <v>1</v>
      </c>
      <c r="D50" s="14"/>
      <c r="E50" s="14">
        <f t="shared" si="1"/>
        <v>0</v>
      </c>
    </row>
    <row r="51" spans="3:5" ht="15.75" customHeight="1" x14ac:dyDescent="0.2">
      <c r="C51" s="13">
        <v>1</v>
      </c>
      <c r="D51" s="14"/>
      <c r="E51" s="14">
        <f t="shared" si="1"/>
        <v>0</v>
      </c>
    </row>
    <row r="52" spans="3:5" ht="15.75" customHeight="1" x14ac:dyDescent="0.2">
      <c r="C52" s="13">
        <v>1</v>
      </c>
      <c r="D52" s="14"/>
      <c r="E52" s="14">
        <f t="shared" si="1"/>
        <v>0</v>
      </c>
    </row>
    <row r="53" spans="3:5" ht="15.75" customHeight="1" x14ac:dyDescent="0.2">
      <c r="C53" s="13">
        <v>1</v>
      </c>
      <c r="D53" s="14"/>
      <c r="E53" s="14">
        <f t="shared" si="1"/>
        <v>0</v>
      </c>
    </row>
    <row r="54" spans="3:5" ht="15.75" customHeight="1" x14ac:dyDescent="0.2">
      <c r="C54" s="13">
        <v>1</v>
      </c>
      <c r="D54" s="14"/>
      <c r="E54" s="14">
        <f t="shared" si="1"/>
        <v>0</v>
      </c>
    </row>
    <row r="55" spans="3:5" ht="15.75" customHeight="1" x14ac:dyDescent="0.2">
      <c r="C55" s="13">
        <v>1</v>
      </c>
      <c r="D55" s="14"/>
      <c r="E55" s="14">
        <f t="shared" si="1"/>
        <v>0</v>
      </c>
    </row>
    <row r="56" spans="3:5" ht="15.75" customHeight="1" x14ac:dyDescent="0.2">
      <c r="C56" s="13">
        <v>1</v>
      </c>
      <c r="D56" s="14"/>
      <c r="E56" s="14">
        <f t="shared" si="1"/>
        <v>0</v>
      </c>
    </row>
    <row r="57" spans="3:5" ht="15.75" customHeight="1" x14ac:dyDescent="0.2"/>
    <row r="58" spans="3:5" ht="15.75" customHeight="1" x14ac:dyDescent="0.2">
      <c r="D58" s="16"/>
      <c r="E58" s="17"/>
    </row>
    <row r="59" spans="3:5" ht="15.75" customHeight="1" x14ac:dyDescent="0.2">
      <c r="D59" s="16"/>
      <c r="E59" s="17"/>
    </row>
    <row r="60" spans="3:5" ht="15.75" customHeight="1" x14ac:dyDescent="0.2">
      <c r="D60" s="16"/>
      <c r="E60" s="17"/>
    </row>
    <row r="61" spans="3:5" ht="15.75" customHeight="1" x14ac:dyDescent="0.2">
      <c r="D61" s="16"/>
      <c r="E61" s="17"/>
    </row>
    <row r="62" spans="3:5" ht="15.75" customHeight="1" x14ac:dyDescent="0.2"/>
    <row r="63" spans="3:5" ht="15.75" customHeight="1" x14ac:dyDescent="0.2"/>
    <row r="64" spans="3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  <row r="1014" ht="15.75" customHeight="1" x14ac:dyDescent="0.2"/>
    <row r="1015" ht="15.75" customHeight="1" x14ac:dyDescent="0.2"/>
    <row r="1016" ht="15.75" customHeight="1" x14ac:dyDescent="0.2"/>
    <row r="1017" ht="15.75" customHeight="1" x14ac:dyDescent="0.2"/>
    <row r="1018" ht="15" customHeight="1" x14ac:dyDescent="0.2"/>
    <row r="1019" ht="15" customHeight="1" x14ac:dyDescent="0.2"/>
    <row r="1020" ht="15" customHeight="1" x14ac:dyDescent="0.2"/>
    <row r="1021" ht="15" customHeight="1" x14ac:dyDescent="0.2"/>
    <row r="1022" ht="15" customHeight="1" x14ac:dyDescent="0.2"/>
    <row r="1023" ht="15" customHeight="1" x14ac:dyDescent="0.2"/>
    <row r="1024" ht="15" customHeight="1" x14ac:dyDescent="0.2"/>
    <row r="1025" ht="15" customHeight="1" x14ac:dyDescent="0.2"/>
    <row r="1026" ht="15" customHeight="1" x14ac:dyDescent="0.2"/>
    <row r="1027" ht="15" customHeight="1" x14ac:dyDescent="0.2"/>
    <row r="1028" ht="15" customHeight="1" x14ac:dyDescent="0.2"/>
    <row r="1029" ht="15" customHeight="1" x14ac:dyDescent="0.2"/>
    <row r="1030" ht="15" customHeight="1" x14ac:dyDescent="0.2"/>
    <row r="1031" ht="15" customHeight="1" x14ac:dyDescent="0.2"/>
    <row r="1032" ht="15" customHeight="1" x14ac:dyDescent="0.2"/>
    <row r="1033" ht="15" customHeight="1" x14ac:dyDescent="0.2"/>
    <row r="1034" ht="15" customHeight="1" x14ac:dyDescent="0.2"/>
    <row r="1035" ht="15" customHeight="1" x14ac:dyDescent="0.2"/>
    <row r="1036" ht="15" customHeight="1" x14ac:dyDescent="0.2"/>
    <row r="1037" ht="15" customHeight="1" x14ac:dyDescent="0.2"/>
    <row r="1038" ht="15" customHeight="1" x14ac:dyDescent="0.2"/>
    <row r="1039" ht="15" customHeight="1" x14ac:dyDescent="0.2"/>
  </sheetData>
  <mergeCells count="7">
    <mergeCell ref="A1:E1"/>
    <mergeCell ref="F1:N1"/>
    <mergeCell ref="B2:E2"/>
    <mergeCell ref="G2:H2"/>
    <mergeCell ref="I2:J2"/>
    <mergeCell ref="K2:L2"/>
    <mergeCell ref="M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Cerca electrica</vt:lpstr>
      <vt:lpstr>Camera analogica +</vt:lpstr>
      <vt:lpstr>Camera Wi-Fi</vt:lpstr>
      <vt:lpstr>Camera IP</vt:lpstr>
      <vt:lpstr>Internet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Gonsalves Ubisse</dc:creator>
  <cp:lastModifiedBy>bitoll857@hotmail.com</cp:lastModifiedBy>
  <cp:lastPrinted>2026-03-26T08:15:34Z</cp:lastPrinted>
  <dcterms:created xsi:type="dcterms:W3CDTF">2015-06-05T18:17:20Z</dcterms:created>
  <dcterms:modified xsi:type="dcterms:W3CDTF">2026-05-06T08:40:34Z</dcterms:modified>
</cp:coreProperties>
</file>